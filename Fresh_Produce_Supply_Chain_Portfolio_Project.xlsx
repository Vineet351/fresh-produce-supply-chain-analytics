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emand &amp; Stock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'Daily Demand &amp; Stock'!$A$1:$L$151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1F4E78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5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 by Product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'Dashboard'!$A$12:$A$16</f>
            </numRef>
          </cat>
          <val>
            <numRef>
              <f>'Dashboard'!$B$12:$B$16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Demand (kg)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4" customWidth="1" min="5" max="5"/>
    <col width="18" customWidth="1" min="6" max="6"/>
    <col width="15" customWidth="1" min="7" max="7"/>
    <col width="22" customWidth="1" min="8" max="8"/>
    <col width="18" customWidth="1" min="9" max="9"/>
    <col width="20" customWidth="1" min="10" max="10"/>
    <col width="17" customWidth="1" min="11" max="11"/>
    <col width="12" customWidth="1" min="12" max="12"/>
  </cols>
  <sheetData>
    <row r="1" ht="40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Opening Stock (kg)</t>
        </is>
      </c>
      <c r="D1" s="1" t="inlineStr">
        <is>
          <t>Demand (kg)</t>
        </is>
      </c>
      <c r="E1" s="1" t="inlineStr">
        <is>
          <t>Received (kg)</t>
        </is>
      </c>
      <c r="F1" s="1" t="inlineStr">
        <is>
          <t>Closing Stock (kg)</t>
        </is>
      </c>
      <c r="G1" s="1" t="inlineStr">
        <is>
          <t>Lead Time (days)</t>
        </is>
      </c>
      <c r="H1" s="1" t="inlineStr">
        <is>
          <t>Avg Daily Demand (kg)</t>
        </is>
      </c>
      <c r="I1" s="1" t="inlineStr">
        <is>
          <t>Safety Stock (kg)</t>
        </is>
      </c>
      <c r="J1" s="1" t="inlineStr">
        <is>
          <t>Reorder Point (kg)</t>
        </is>
      </c>
      <c r="K1" s="1" t="inlineStr">
        <is>
          <t>Expiry/Waste (kg)</t>
        </is>
      </c>
      <c r="L1" s="1" t="inlineStr">
        <is>
          <t>Fill Rate</t>
        </is>
      </c>
    </row>
    <row r="2">
      <c r="A2" s="2" t="n">
        <v>46266</v>
      </c>
      <c r="B2" s="3" t="inlineStr">
        <is>
          <t>Tomato</t>
        </is>
      </c>
      <c r="C2" s="3" t="n">
        <v>450</v>
      </c>
      <c r="D2" s="3" t="n">
        <v>48</v>
      </c>
      <c r="E2" s="3" t="n">
        <v>0</v>
      </c>
      <c r="F2" s="3">
        <f>C2+E2-D2-K2</f>
        <v/>
      </c>
      <c r="G2" s="3" t="n">
        <v>3</v>
      </c>
      <c r="H2" s="3" t="n">
        <v>58</v>
      </c>
      <c r="I2" s="3" t="n">
        <v>50</v>
      </c>
      <c r="J2" s="3" t="n">
        <v>224</v>
      </c>
      <c r="K2" s="3" t="n">
        <v>80</v>
      </c>
      <c r="L2" s="4" t="n">
        <v>1</v>
      </c>
    </row>
    <row r="3">
      <c r="A3" s="2" t="n">
        <v>46266</v>
      </c>
      <c r="B3" s="3" t="inlineStr">
        <is>
          <t>Onion</t>
        </is>
      </c>
      <c r="C3" s="3" t="n">
        <v>650</v>
      </c>
      <c r="D3" s="3" t="n">
        <v>80</v>
      </c>
      <c r="E3" s="3" t="n">
        <v>0</v>
      </c>
      <c r="F3" s="3">
        <f>C3+E3-D3-K3</f>
        <v/>
      </c>
      <c r="G3" s="3" t="n">
        <v>4</v>
      </c>
      <c r="H3" s="3" t="n">
        <v>72</v>
      </c>
      <c r="I3" s="3" t="n">
        <v>72</v>
      </c>
      <c r="J3" s="3" t="n">
        <v>360</v>
      </c>
      <c r="K3" s="3" t="n">
        <v>86</v>
      </c>
      <c r="L3" s="4" t="n">
        <v>1</v>
      </c>
    </row>
    <row r="4">
      <c r="A4" s="2" t="n">
        <v>46266</v>
      </c>
      <c r="B4" s="3" t="inlineStr">
        <is>
          <t>Potato</t>
        </is>
      </c>
      <c r="C4" s="3" t="n">
        <v>700</v>
      </c>
      <c r="D4" s="3" t="n">
        <v>74</v>
      </c>
      <c r="E4" s="3" t="n">
        <v>0</v>
      </c>
      <c r="F4" s="3">
        <f>C4+E4-D4-K4</f>
        <v/>
      </c>
      <c r="G4" s="3" t="n">
        <v>4</v>
      </c>
      <c r="H4" s="3" t="n">
        <v>80</v>
      </c>
      <c r="I4" s="3" t="n">
        <v>80</v>
      </c>
      <c r="J4" s="3" t="n">
        <v>400</v>
      </c>
      <c r="K4" s="3" t="n">
        <v>75</v>
      </c>
      <c r="L4" s="4" t="n">
        <v>1</v>
      </c>
    </row>
    <row r="5">
      <c r="A5" s="2" t="n">
        <v>46266</v>
      </c>
      <c r="B5" s="3" t="inlineStr">
        <is>
          <t>Cucumber</t>
        </is>
      </c>
      <c r="C5" s="3" t="n">
        <v>300</v>
      </c>
      <c r="D5" s="3" t="n">
        <v>32</v>
      </c>
      <c r="E5" s="3" t="n">
        <v>0</v>
      </c>
      <c r="F5" s="3">
        <f>C5+E5-D5-K5</f>
        <v/>
      </c>
      <c r="G5" s="3" t="n">
        <v>2</v>
      </c>
      <c r="H5" s="3" t="n">
        <v>38</v>
      </c>
      <c r="I5" s="3" t="n">
        <v>27</v>
      </c>
      <c r="J5" s="3" t="n">
        <v>103</v>
      </c>
      <c r="K5" s="3" t="n">
        <v>67</v>
      </c>
      <c r="L5" s="4" t="n">
        <v>1</v>
      </c>
    </row>
    <row r="6">
      <c r="A6" s="2" t="n">
        <v>46266</v>
      </c>
      <c r="B6" s="3" t="inlineStr">
        <is>
          <t>Capsicum</t>
        </is>
      </c>
      <c r="C6" s="3" t="n">
        <v>250</v>
      </c>
      <c r="D6" s="3" t="n">
        <v>30</v>
      </c>
      <c r="E6" s="3" t="n">
        <v>0</v>
      </c>
      <c r="F6" s="3">
        <f>C6+E6-D6-K6</f>
        <v/>
      </c>
      <c r="G6" s="3" t="n">
        <v>3</v>
      </c>
      <c r="H6" s="3" t="n">
        <v>30</v>
      </c>
      <c r="I6" s="3" t="n">
        <v>26</v>
      </c>
      <c r="J6" s="3" t="n">
        <v>116</v>
      </c>
      <c r="K6" s="3" t="n">
        <v>44</v>
      </c>
      <c r="L6" s="4" t="n">
        <v>1</v>
      </c>
    </row>
    <row r="7">
      <c r="A7" s="2" t="n">
        <v>46267</v>
      </c>
      <c r="B7" s="3" t="inlineStr">
        <is>
          <t>Tomato</t>
        </is>
      </c>
      <c r="C7" s="3" t="n">
        <v>322</v>
      </c>
      <c r="D7" s="3" t="n">
        <v>59</v>
      </c>
      <c r="E7" s="3" t="n">
        <v>0</v>
      </c>
      <c r="F7" s="3">
        <f>C7+E7-D7-K7</f>
        <v/>
      </c>
      <c r="G7" s="3" t="n">
        <v>3</v>
      </c>
      <c r="H7" s="3" t="n">
        <v>48</v>
      </c>
      <c r="I7" s="3" t="n">
        <v>42</v>
      </c>
      <c r="J7" s="3" t="n">
        <v>186</v>
      </c>
      <c r="K7" s="3" t="n">
        <v>0</v>
      </c>
      <c r="L7" s="4" t="n">
        <v>1</v>
      </c>
    </row>
    <row r="8">
      <c r="A8" s="2" t="n">
        <v>46267</v>
      </c>
      <c r="B8" s="3" t="inlineStr">
        <is>
          <t>Onion</t>
        </is>
      </c>
      <c r="C8" s="3" t="n">
        <v>484</v>
      </c>
      <c r="D8" s="3" t="n">
        <v>73</v>
      </c>
      <c r="E8" s="3" t="n">
        <v>0</v>
      </c>
      <c r="F8" s="3">
        <f>C8+E8-D8-K8</f>
        <v/>
      </c>
      <c r="G8" s="3" t="n">
        <v>4</v>
      </c>
      <c r="H8" s="3" t="n">
        <v>80</v>
      </c>
      <c r="I8" s="3" t="n">
        <v>80</v>
      </c>
      <c r="J8" s="3" t="n">
        <v>400</v>
      </c>
      <c r="K8" s="3" t="n">
        <v>0</v>
      </c>
      <c r="L8" s="4" t="n">
        <v>1</v>
      </c>
    </row>
    <row r="9">
      <c r="A9" s="2" t="n">
        <v>46267</v>
      </c>
      <c r="B9" s="3" t="inlineStr">
        <is>
          <t>Potato</t>
        </is>
      </c>
      <c r="C9" s="3" t="n">
        <v>551</v>
      </c>
      <c r="D9" s="3" t="n">
        <v>80</v>
      </c>
      <c r="E9" s="3" t="n">
        <v>0</v>
      </c>
      <c r="F9" s="3">
        <f>C9+E9-D9-K9</f>
        <v/>
      </c>
      <c r="G9" s="3" t="n">
        <v>4</v>
      </c>
      <c r="H9" s="3" t="n">
        <v>74</v>
      </c>
      <c r="I9" s="3" t="n">
        <v>74</v>
      </c>
      <c r="J9" s="3" t="n">
        <v>370</v>
      </c>
      <c r="K9" s="3" t="n">
        <v>0</v>
      </c>
      <c r="L9" s="4" t="n">
        <v>1</v>
      </c>
    </row>
    <row r="10">
      <c r="A10" s="2" t="n">
        <v>46267</v>
      </c>
      <c r="B10" s="3" t="inlineStr">
        <is>
          <t>Cucumber</t>
        </is>
      </c>
      <c r="C10" s="3" t="n">
        <v>201</v>
      </c>
      <c r="D10" s="3" t="n">
        <v>33</v>
      </c>
      <c r="E10" s="3" t="n">
        <v>0</v>
      </c>
      <c r="F10" s="3">
        <f>C10+E10-D10-K10</f>
        <v/>
      </c>
      <c r="G10" s="3" t="n">
        <v>2</v>
      </c>
      <c r="H10" s="3" t="n">
        <v>32</v>
      </c>
      <c r="I10" s="3" t="n">
        <v>23</v>
      </c>
      <c r="J10" s="3" t="n">
        <v>87</v>
      </c>
      <c r="K10" s="3" t="n">
        <v>0</v>
      </c>
      <c r="L10" s="4" t="n">
        <v>1</v>
      </c>
    </row>
    <row r="11">
      <c r="A11" s="2" t="n">
        <v>46267</v>
      </c>
      <c r="B11" s="3" t="inlineStr">
        <is>
          <t>Capsicum</t>
        </is>
      </c>
      <c r="C11" s="3" t="n">
        <v>176</v>
      </c>
      <c r="D11" s="3" t="n">
        <v>26</v>
      </c>
      <c r="E11" s="3" t="n">
        <v>0</v>
      </c>
      <c r="F11" s="3">
        <f>C11+E11-D11-K11</f>
        <v/>
      </c>
      <c r="G11" s="3" t="n">
        <v>3</v>
      </c>
      <c r="H11" s="3" t="n">
        <v>30</v>
      </c>
      <c r="I11" s="3" t="n">
        <v>26</v>
      </c>
      <c r="J11" s="3" t="n">
        <v>116</v>
      </c>
      <c r="K11" s="3" t="n">
        <v>0</v>
      </c>
      <c r="L11" s="4" t="n">
        <v>1</v>
      </c>
    </row>
    <row r="12">
      <c r="A12" s="2" t="n">
        <v>46268</v>
      </c>
      <c r="B12" s="3" t="inlineStr">
        <is>
          <t>Tomato</t>
        </is>
      </c>
      <c r="C12" s="3" t="n">
        <v>263</v>
      </c>
      <c r="D12" s="3" t="n">
        <v>66</v>
      </c>
      <c r="E12" s="3" t="n">
        <v>0</v>
      </c>
      <c r="F12" s="3">
        <f>C12+E12-D12-K12</f>
        <v/>
      </c>
      <c r="G12" s="3" t="n">
        <v>3</v>
      </c>
      <c r="H12" s="3" t="n">
        <v>53.5</v>
      </c>
      <c r="I12" s="3" t="n">
        <v>46</v>
      </c>
      <c r="J12" s="3" t="n">
        <v>206</v>
      </c>
      <c r="K12" s="3" t="n">
        <v>0</v>
      </c>
      <c r="L12" s="4" t="n">
        <v>1</v>
      </c>
    </row>
    <row r="13">
      <c r="A13" s="2" t="n">
        <v>46268</v>
      </c>
      <c r="B13" s="3" t="inlineStr">
        <is>
          <t>Onion</t>
        </is>
      </c>
      <c r="C13" s="3" t="n">
        <v>411</v>
      </c>
      <c r="D13" s="3" t="n">
        <v>66</v>
      </c>
      <c r="E13" s="3" t="n">
        <v>0</v>
      </c>
      <c r="F13" s="3">
        <f>C13+E13-D13-K13</f>
        <v/>
      </c>
      <c r="G13" s="3" t="n">
        <v>4</v>
      </c>
      <c r="H13" s="3" t="n">
        <v>76.5</v>
      </c>
      <c r="I13" s="3" t="n">
        <v>76</v>
      </c>
      <c r="J13" s="3" t="n">
        <v>382</v>
      </c>
      <c r="K13" s="3" t="n">
        <v>0</v>
      </c>
      <c r="L13" s="4" t="n">
        <v>1</v>
      </c>
    </row>
    <row r="14">
      <c r="A14" s="2" t="n">
        <v>46268</v>
      </c>
      <c r="B14" s="3" t="inlineStr">
        <is>
          <t>Potato</t>
        </is>
      </c>
      <c r="C14" s="3" t="n">
        <v>471</v>
      </c>
      <c r="D14" s="3" t="n">
        <v>90</v>
      </c>
      <c r="E14" s="3" t="n">
        <v>0</v>
      </c>
      <c r="F14" s="3">
        <f>C14+E14-D14-K14</f>
        <v/>
      </c>
      <c r="G14" s="3" t="n">
        <v>4</v>
      </c>
      <c r="H14" s="3" t="n">
        <v>77</v>
      </c>
      <c r="I14" s="3" t="n">
        <v>77</v>
      </c>
      <c r="J14" s="3" t="n">
        <v>385</v>
      </c>
      <c r="K14" s="3" t="n">
        <v>0</v>
      </c>
      <c r="L14" s="4" t="n">
        <v>1</v>
      </c>
    </row>
    <row r="15">
      <c r="A15" s="2" t="n">
        <v>46268</v>
      </c>
      <c r="B15" s="3" t="inlineStr">
        <is>
          <t>Cucumber</t>
        </is>
      </c>
      <c r="C15" s="3" t="n">
        <v>168</v>
      </c>
      <c r="D15" s="3" t="n">
        <v>45</v>
      </c>
      <c r="E15" s="3" t="n">
        <v>0</v>
      </c>
      <c r="F15" s="3">
        <f>C15+E15-D15-K15</f>
        <v/>
      </c>
      <c r="G15" s="3" t="n">
        <v>2</v>
      </c>
      <c r="H15" s="3" t="n">
        <v>32.5</v>
      </c>
      <c r="I15" s="3" t="n">
        <v>23</v>
      </c>
      <c r="J15" s="3" t="n">
        <v>88</v>
      </c>
      <c r="K15" s="3" t="n">
        <v>0</v>
      </c>
      <c r="L15" s="4" t="n">
        <v>1</v>
      </c>
    </row>
    <row r="16">
      <c r="A16" s="2" t="n">
        <v>46268</v>
      </c>
      <c r="B16" s="3" t="inlineStr">
        <is>
          <t>Capsicum</t>
        </is>
      </c>
      <c r="C16" s="3" t="n">
        <v>150</v>
      </c>
      <c r="D16" s="3" t="n">
        <v>37</v>
      </c>
      <c r="E16" s="3" t="n">
        <v>0</v>
      </c>
      <c r="F16" s="3">
        <f>C16+E16-D16-K16</f>
        <v/>
      </c>
      <c r="G16" s="3" t="n">
        <v>3</v>
      </c>
      <c r="H16" s="3" t="n">
        <v>28</v>
      </c>
      <c r="I16" s="3" t="n">
        <v>24</v>
      </c>
      <c r="J16" s="3" t="n">
        <v>108</v>
      </c>
      <c r="K16" s="3" t="n">
        <v>0</v>
      </c>
      <c r="L16" s="4" t="n">
        <v>1</v>
      </c>
    </row>
    <row r="17">
      <c r="A17" s="2" t="n">
        <v>46269</v>
      </c>
      <c r="B17" s="3" t="inlineStr">
        <is>
          <t>Tomato</t>
        </is>
      </c>
      <c r="C17" s="3" t="n">
        <v>197</v>
      </c>
      <c r="D17" s="3" t="n">
        <v>75</v>
      </c>
      <c r="E17" s="3" t="n">
        <v>288</v>
      </c>
      <c r="F17" s="3">
        <f>C17+E17-D17-K17</f>
        <v/>
      </c>
      <c r="G17" s="3" t="n">
        <v>3</v>
      </c>
      <c r="H17" s="3" t="n">
        <v>57.7</v>
      </c>
      <c r="I17" s="3" t="n">
        <v>50</v>
      </c>
      <c r="J17" s="3" t="n">
        <v>223</v>
      </c>
      <c r="K17" s="3" t="n">
        <v>0</v>
      </c>
      <c r="L17" s="4" t="n">
        <v>1</v>
      </c>
    </row>
    <row r="18">
      <c r="A18" s="2" t="n">
        <v>46269</v>
      </c>
      <c r="B18" s="3" t="inlineStr">
        <is>
          <t>Onion</t>
        </is>
      </c>
      <c r="C18" s="3" t="n">
        <v>345</v>
      </c>
      <c r="D18" s="3" t="n">
        <v>62</v>
      </c>
      <c r="E18" s="3" t="n">
        <v>438</v>
      </c>
      <c r="F18" s="3">
        <f>C18+E18-D18-K18</f>
        <v/>
      </c>
      <c r="G18" s="3" t="n">
        <v>4</v>
      </c>
      <c r="H18" s="3" t="n">
        <v>73</v>
      </c>
      <c r="I18" s="3" t="n">
        <v>73</v>
      </c>
      <c r="J18" s="3" t="n">
        <v>365</v>
      </c>
      <c r="K18" s="3" t="n">
        <v>0</v>
      </c>
      <c r="L18" s="4" t="n">
        <v>1</v>
      </c>
    </row>
    <row r="19">
      <c r="A19" s="2" t="n">
        <v>46269</v>
      </c>
      <c r="B19" s="3" t="inlineStr">
        <is>
          <t>Potato</t>
        </is>
      </c>
      <c r="C19" s="3" t="n">
        <v>381</v>
      </c>
      <c r="D19" s="3" t="n">
        <v>69</v>
      </c>
      <c r="E19" s="3" t="n">
        <v>488</v>
      </c>
      <c r="F19" s="3">
        <f>C19+E19-D19-K19</f>
        <v/>
      </c>
      <c r="G19" s="3" t="n">
        <v>4</v>
      </c>
      <c r="H19" s="3" t="n">
        <v>81.3</v>
      </c>
      <c r="I19" s="3" t="n">
        <v>81</v>
      </c>
      <c r="J19" s="3" t="n">
        <v>406</v>
      </c>
      <c r="K19" s="3" t="n">
        <v>0</v>
      </c>
      <c r="L19" s="4" t="n">
        <v>1</v>
      </c>
    </row>
    <row r="20">
      <c r="A20" s="2" t="n">
        <v>46269</v>
      </c>
      <c r="B20" s="3" t="inlineStr">
        <is>
          <t>Cucumber</t>
        </is>
      </c>
      <c r="C20" s="3" t="n">
        <v>123</v>
      </c>
      <c r="D20" s="3" t="n">
        <v>44</v>
      </c>
      <c r="E20" s="3" t="n">
        <v>0</v>
      </c>
      <c r="F20" s="3">
        <f>C20+E20-D20-K20</f>
        <v/>
      </c>
      <c r="G20" s="3" t="n">
        <v>2</v>
      </c>
      <c r="H20" s="3" t="n">
        <v>36.7</v>
      </c>
      <c r="I20" s="3" t="n">
        <v>26</v>
      </c>
      <c r="J20" s="3" t="n">
        <v>99</v>
      </c>
      <c r="K20" s="3" t="n">
        <v>0</v>
      </c>
      <c r="L20" s="4" t="n">
        <v>1</v>
      </c>
    </row>
    <row r="21">
      <c r="A21" s="2" t="n">
        <v>46269</v>
      </c>
      <c r="B21" s="3" t="inlineStr">
        <is>
          <t>Capsicum</t>
        </is>
      </c>
      <c r="C21" s="3" t="n">
        <v>113</v>
      </c>
      <c r="D21" s="3" t="n">
        <v>32</v>
      </c>
      <c r="E21" s="3" t="n">
        <v>155</v>
      </c>
      <c r="F21" s="3">
        <f>C21+E21-D21-K21</f>
        <v/>
      </c>
      <c r="G21" s="3" t="n">
        <v>3</v>
      </c>
      <c r="H21" s="3" t="n">
        <v>31</v>
      </c>
      <c r="I21" s="3" t="n">
        <v>27</v>
      </c>
      <c r="J21" s="3" t="n">
        <v>120</v>
      </c>
      <c r="K21" s="3" t="n">
        <v>0</v>
      </c>
      <c r="L21" s="4" t="n">
        <v>1</v>
      </c>
    </row>
    <row r="22">
      <c r="A22" s="2" t="n">
        <v>46270</v>
      </c>
      <c r="B22" s="3" t="inlineStr">
        <is>
          <t>Tomato</t>
        </is>
      </c>
      <c r="C22" s="3" t="n">
        <v>410</v>
      </c>
      <c r="D22" s="3" t="n">
        <v>49</v>
      </c>
      <c r="E22" s="3" t="n">
        <v>0</v>
      </c>
      <c r="F22" s="3">
        <f>C22+E22-D22-K22</f>
        <v/>
      </c>
      <c r="G22" s="3" t="n">
        <v>3</v>
      </c>
      <c r="H22" s="3" t="n">
        <v>62</v>
      </c>
      <c r="I22" s="3" t="n">
        <v>54</v>
      </c>
      <c r="J22" s="3" t="n">
        <v>240</v>
      </c>
      <c r="K22" s="3" t="n">
        <v>0</v>
      </c>
      <c r="L22" s="4" t="n">
        <v>1</v>
      </c>
    </row>
    <row r="23">
      <c r="A23" s="2" t="n">
        <v>46270</v>
      </c>
      <c r="B23" s="3" t="inlineStr">
        <is>
          <t>Onion</t>
        </is>
      </c>
      <c r="C23" s="3" t="n">
        <v>721</v>
      </c>
      <c r="D23" s="3" t="n">
        <v>81</v>
      </c>
      <c r="E23" s="3" t="n">
        <v>0</v>
      </c>
      <c r="F23" s="3">
        <f>C23+E23-D23-K23</f>
        <v/>
      </c>
      <c r="G23" s="3" t="n">
        <v>4</v>
      </c>
      <c r="H23" s="3" t="n">
        <v>70.2</v>
      </c>
      <c r="I23" s="3" t="n">
        <v>70</v>
      </c>
      <c r="J23" s="3" t="n">
        <v>351</v>
      </c>
      <c r="K23" s="3" t="n">
        <v>0</v>
      </c>
      <c r="L23" s="4" t="n">
        <v>1</v>
      </c>
    </row>
    <row r="24">
      <c r="A24" s="2" t="n">
        <v>46270</v>
      </c>
      <c r="B24" s="3" t="inlineStr">
        <is>
          <t>Potato</t>
        </is>
      </c>
      <c r="C24" s="3" t="n">
        <v>800</v>
      </c>
      <c r="D24" s="3" t="n">
        <v>100</v>
      </c>
      <c r="E24" s="3" t="n">
        <v>0</v>
      </c>
      <c r="F24" s="3">
        <f>C24+E24-D24-K24</f>
        <v/>
      </c>
      <c r="G24" s="3" t="n">
        <v>4</v>
      </c>
      <c r="H24" s="3" t="n">
        <v>78.2</v>
      </c>
      <c r="I24" s="3" t="n">
        <v>78</v>
      </c>
      <c r="J24" s="3" t="n">
        <v>391</v>
      </c>
      <c r="K24" s="3" t="n">
        <v>0</v>
      </c>
      <c r="L24" s="4" t="n">
        <v>1</v>
      </c>
    </row>
    <row r="25">
      <c r="A25" s="2" t="n">
        <v>46270</v>
      </c>
      <c r="B25" s="3" t="inlineStr">
        <is>
          <t>Cucumber</t>
        </is>
      </c>
      <c r="C25" s="3" t="n">
        <v>79</v>
      </c>
      <c r="D25" s="3" t="n">
        <v>46</v>
      </c>
      <c r="E25" s="3" t="n">
        <v>154</v>
      </c>
      <c r="F25" s="3">
        <f>C25+E25-D25-K25</f>
        <v/>
      </c>
      <c r="G25" s="3" t="n">
        <v>2</v>
      </c>
      <c r="H25" s="3" t="n">
        <v>38.5</v>
      </c>
      <c r="I25" s="3" t="n">
        <v>27</v>
      </c>
      <c r="J25" s="3" t="n">
        <v>104</v>
      </c>
      <c r="K25" s="3" t="n">
        <v>0</v>
      </c>
      <c r="L25" s="4" t="n">
        <v>1</v>
      </c>
    </row>
    <row r="26">
      <c r="A26" s="2" t="n">
        <v>46270</v>
      </c>
      <c r="B26" s="3" t="inlineStr">
        <is>
          <t>Capsicum</t>
        </is>
      </c>
      <c r="C26" s="3" t="n">
        <v>236</v>
      </c>
      <c r="D26" s="3" t="n">
        <v>25</v>
      </c>
      <c r="E26" s="3" t="n">
        <v>0</v>
      </c>
      <c r="F26" s="3">
        <f>C26+E26-D26-K26</f>
        <v/>
      </c>
      <c r="G26" s="3" t="n">
        <v>3</v>
      </c>
      <c r="H26" s="3" t="n">
        <v>31.2</v>
      </c>
      <c r="I26" s="3" t="n">
        <v>27</v>
      </c>
      <c r="J26" s="3" t="n">
        <v>121</v>
      </c>
      <c r="K26" s="3" t="n">
        <v>0</v>
      </c>
      <c r="L26" s="4" t="n">
        <v>1</v>
      </c>
    </row>
    <row r="27">
      <c r="A27" s="2" t="n">
        <v>46271</v>
      </c>
      <c r="B27" s="3" t="inlineStr">
        <is>
          <t>Tomato</t>
        </is>
      </c>
      <c r="C27" s="3" t="n">
        <v>361</v>
      </c>
      <c r="D27" s="3" t="n">
        <v>52</v>
      </c>
      <c r="E27" s="3" t="n">
        <v>0</v>
      </c>
      <c r="F27" s="3">
        <f>C27+E27-D27-K27</f>
        <v/>
      </c>
      <c r="G27" s="3" t="n">
        <v>3</v>
      </c>
      <c r="H27" s="3" t="n">
        <v>59.4</v>
      </c>
      <c r="I27" s="3" t="n">
        <v>51</v>
      </c>
      <c r="J27" s="3" t="n">
        <v>229</v>
      </c>
      <c r="K27" s="3" t="n">
        <v>62</v>
      </c>
      <c r="L27" s="4" t="n">
        <v>1</v>
      </c>
    </row>
    <row r="28">
      <c r="A28" s="2" t="n">
        <v>46271</v>
      </c>
      <c r="B28" s="3" t="inlineStr">
        <is>
          <t>Onion</t>
        </is>
      </c>
      <c r="C28" s="3" t="n">
        <v>640</v>
      </c>
      <c r="D28" s="3" t="n">
        <v>52</v>
      </c>
      <c r="E28" s="3" t="n">
        <v>0</v>
      </c>
      <c r="F28" s="3">
        <f>C28+E28-D28-K28</f>
        <v/>
      </c>
      <c r="G28" s="3" t="n">
        <v>4</v>
      </c>
      <c r="H28" s="3" t="n">
        <v>72.40000000000001</v>
      </c>
      <c r="I28" s="3" t="n">
        <v>72</v>
      </c>
      <c r="J28" s="3" t="n">
        <v>362</v>
      </c>
      <c r="K28" s="3" t="n">
        <v>88</v>
      </c>
      <c r="L28" s="4" t="n">
        <v>1</v>
      </c>
    </row>
    <row r="29">
      <c r="A29" s="2" t="n">
        <v>46271</v>
      </c>
      <c r="B29" s="3" t="inlineStr">
        <is>
          <t>Potato</t>
        </is>
      </c>
      <c r="C29" s="3" t="n">
        <v>700</v>
      </c>
      <c r="D29" s="3" t="n">
        <v>104</v>
      </c>
      <c r="E29" s="3" t="n">
        <v>0</v>
      </c>
      <c r="F29" s="3">
        <f>C29+E29-D29-K29</f>
        <v/>
      </c>
      <c r="G29" s="3" t="n">
        <v>4</v>
      </c>
      <c r="H29" s="3" t="n">
        <v>82.59999999999999</v>
      </c>
      <c r="I29" s="3" t="n">
        <v>83</v>
      </c>
      <c r="J29" s="3" t="n">
        <v>413</v>
      </c>
      <c r="K29" s="3" t="n">
        <v>72</v>
      </c>
      <c r="L29" s="4" t="n">
        <v>1</v>
      </c>
    </row>
    <row r="30">
      <c r="A30" s="2" t="n">
        <v>46271</v>
      </c>
      <c r="B30" s="3" t="inlineStr">
        <is>
          <t>Cucumber</t>
        </is>
      </c>
      <c r="C30" s="3" t="n">
        <v>187</v>
      </c>
      <c r="D30" s="3" t="n">
        <v>32</v>
      </c>
      <c r="E30" s="3" t="n">
        <v>0</v>
      </c>
      <c r="F30" s="3">
        <f>C30+E30-D30-K30</f>
        <v/>
      </c>
      <c r="G30" s="3" t="n">
        <v>2</v>
      </c>
      <c r="H30" s="3" t="n">
        <v>40</v>
      </c>
      <c r="I30" s="3" t="n">
        <v>28</v>
      </c>
      <c r="J30" s="3" t="n">
        <v>108</v>
      </c>
      <c r="K30" s="3" t="n">
        <v>39</v>
      </c>
      <c r="L30" s="4" t="n">
        <v>1</v>
      </c>
    </row>
    <row r="31">
      <c r="A31" s="2" t="n">
        <v>46271</v>
      </c>
      <c r="B31" s="3" t="inlineStr">
        <is>
          <t>Capsicum</t>
        </is>
      </c>
      <c r="C31" s="3" t="n">
        <v>211</v>
      </c>
      <c r="D31" s="3" t="n">
        <v>35</v>
      </c>
      <c r="E31" s="3" t="n">
        <v>0</v>
      </c>
      <c r="F31" s="3">
        <f>C31+E31-D31-K31</f>
        <v/>
      </c>
      <c r="G31" s="3" t="n">
        <v>3</v>
      </c>
      <c r="H31" s="3" t="n">
        <v>30</v>
      </c>
      <c r="I31" s="3" t="n">
        <v>26</v>
      </c>
      <c r="J31" s="3" t="n">
        <v>116</v>
      </c>
      <c r="K31" s="3" t="n">
        <v>35</v>
      </c>
      <c r="L31" s="4" t="n">
        <v>1</v>
      </c>
    </row>
    <row r="32">
      <c r="A32" s="2" t="n">
        <v>46272</v>
      </c>
      <c r="B32" s="3" t="inlineStr">
        <is>
          <t>Tomato</t>
        </is>
      </c>
      <c r="C32" s="3" t="n">
        <v>247</v>
      </c>
      <c r="D32" s="3" t="n">
        <v>60</v>
      </c>
      <c r="E32" s="3" t="n">
        <v>0</v>
      </c>
      <c r="F32" s="3">
        <f>C32+E32-D32-K32</f>
        <v/>
      </c>
      <c r="G32" s="3" t="n">
        <v>3</v>
      </c>
      <c r="H32" s="3" t="n">
        <v>58.2</v>
      </c>
      <c r="I32" s="3" t="n">
        <v>50</v>
      </c>
      <c r="J32" s="3" t="n">
        <v>224</v>
      </c>
      <c r="K32" s="3" t="n">
        <v>0</v>
      </c>
      <c r="L32" s="4" t="n">
        <v>1</v>
      </c>
    </row>
    <row r="33">
      <c r="A33" s="2" t="n">
        <v>46272</v>
      </c>
      <c r="B33" s="3" t="inlineStr">
        <is>
          <t>Onion</t>
        </is>
      </c>
      <c r="C33" s="3" t="n">
        <v>500</v>
      </c>
      <c r="D33" s="3" t="n">
        <v>77</v>
      </c>
      <c r="E33" s="3" t="n">
        <v>0</v>
      </c>
      <c r="F33" s="3">
        <f>C33+E33-D33-K33</f>
        <v/>
      </c>
      <c r="G33" s="3" t="n">
        <v>4</v>
      </c>
      <c r="H33" s="3" t="n">
        <v>69</v>
      </c>
      <c r="I33" s="3" t="n">
        <v>69</v>
      </c>
      <c r="J33" s="3" t="n">
        <v>345</v>
      </c>
      <c r="K33" s="3" t="n">
        <v>0</v>
      </c>
      <c r="L33" s="4" t="n">
        <v>1</v>
      </c>
    </row>
    <row r="34">
      <c r="A34" s="2" t="n">
        <v>46272</v>
      </c>
      <c r="B34" s="3" t="inlineStr">
        <is>
          <t>Potato</t>
        </is>
      </c>
      <c r="C34" s="3" t="n">
        <v>524</v>
      </c>
      <c r="D34" s="3" t="n">
        <v>83</v>
      </c>
      <c r="E34" s="3" t="n">
        <v>0</v>
      </c>
      <c r="F34" s="3">
        <f>C34+E34-D34-K34</f>
        <v/>
      </c>
      <c r="G34" s="3" t="n">
        <v>4</v>
      </c>
      <c r="H34" s="3" t="n">
        <v>86.2</v>
      </c>
      <c r="I34" s="3" t="n">
        <v>86</v>
      </c>
      <c r="J34" s="3" t="n">
        <v>431</v>
      </c>
      <c r="K34" s="3" t="n">
        <v>0</v>
      </c>
      <c r="L34" s="4" t="n">
        <v>1</v>
      </c>
    </row>
    <row r="35">
      <c r="A35" s="2" t="n">
        <v>46272</v>
      </c>
      <c r="B35" s="3" t="inlineStr">
        <is>
          <t>Cucumber</t>
        </is>
      </c>
      <c r="C35" s="3" t="n">
        <v>116</v>
      </c>
      <c r="D35" s="3" t="n">
        <v>46</v>
      </c>
      <c r="E35" s="3" t="n">
        <v>0</v>
      </c>
      <c r="F35" s="3">
        <f>C35+E35-D35-K35</f>
        <v/>
      </c>
      <c r="G35" s="3" t="n">
        <v>2</v>
      </c>
      <c r="H35" s="3" t="n">
        <v>38.7</v>
      </c>
      <c r="I35" s="3" t="n">
        <v>27</v>
      </c>
      <c r="J35" s="3" t="n">
        <v>104</v>
      </c>
      <c r="K35" s="3" t="n">
        <v>0</v>
      </c>
      <c r="L35" s="4" t="n">
        <v>1</v>
      </c>
    </row>
    <row r="36">
      <c r="A36" s="2" t="n">
        <v>46272</v>
      </c>
      <c r="B36" s="3" t="inlineStr">
        <is>
          <t>Capsicum</t>
        </is>
      </c>
      <c r="C36" s="3" t="n">
        <v>141</v>
      </c>
      <c r="D36" s="3" t="n">
        <v>32</v>
      </c>
      <c r="E36" s="3" t="n">
        <v>0</v>
      </c>
      <c r="F36" s="3">
        <f>C36+E36-D36-K36</f>
        <v/>
      </c>
      <c r="G36" s="3" t="n">
        <v>3</v>
      </c>
      <c r="H36" s="3" t="n">
        <v>30.8</v>
      </c>
      <c r="I36" s="3" t="n">
        <v>27</v>
      </c>
      <c r="J36" s="3" t="n">
        <v>120</v>
      </c>
      <c r="K36" s="3" t="n">
        <v>0</v>
      </c>
      <c r="L36" s="4" t="n">
        <v>1</v>
      </c>
    </row>
    <row r="37">
      <c r="A37" s="2" t="n">
        <v>46273</v>
      </c>
      <c r="B37" s="3" t="inlineStr">
        <is>
          <t>Tomato</t>
        </is>
      </c>
      <c r="C37" s="3" t="n">
        <v>187</v>
      </c>
      <c r="D37" s="3" t="n">
        <v>52</v>
      </c>
      <c r="E37" s="3" t="n">
        <v>292</v>
      </c>
      <c r="F37" s="3">
        <f>C37+E37-D37-K37</f>
        <v/>
      </c>
      <c r="G37" s="3" t="n">
        <v>3</v>
      </c>
      <c r="H37" s="3" t="n">
        <v>58.4</v>
      </c>
      <c r="I37" s="3" t="n">
        <v>51</v>
      </c>
      <c r="J37" s="3" t="n">
        <v>226</v>
      </c>
      <c r="K37" s="3" t="n">
        <v>0</v>
      </c>
      <c r="L37" s="4" t="n">
        <v>1</v>
      </c>
    </row>
    <row r="38">
      <c r="A38" s="2" t="n">
        <v>46273</v>
      </c>
      <c r="B38" s="3" t="inlineStr">
        <is>
          <t>Onion</t>
        </is>
      </c>
      <c r="C38" s="3" t="n">
        <v>423</v>
      </c>
      <c r="D38" s="3" t="n">
        <v>57</v>
      </c>
      <c r="E38" s="3" t="n">
        <v>0</v>
      </c>
      <c r="F38" s="3">
        <f>C38+E38-D38-K38</f>
        <v/>
      </c>
      <c r="G38" s="3" t="n">
        <v>4</v>
      </c>
      <c r="H38" s="3" t="n">
        <v>70.09999999999999</v>
      </c>
      <c r="I38" s="3" t="n">
        <v>70</v>
      </c>
      <c r="J38" s="3" t="n">
        <v>351</v>
      </c>
      <c r="K38" s="3" t="n">
        <v>0</v>
      </c>
      <c r="L38" s="4" t="n">
        <v>1</v>
      </c>
    </row>
    <row r="39">
      <c r="A39" s="2" t="n">
        <v>46273</v>
      </c>
      <c r="B39" s="3" t="inlineStr">
        <is>
          <t>Potato</t>
        </is>
      </c>
      <c r="C39" s="3" t="n">
        <v>441</v>
      </c>
      <c r="D39" s="3" t="n">
        <v>81</v>
      </c>
      <c r="E39" s="3" t="n">
        <v>0</v>
      </c>
      <c r="F39" s="3">
        <f>C39+E39-D39-K39</f>
        <v/>
      </c>
      <c r="G39" s="3" t="n">
        <v>4</v>
      </c>
      <c r="H39" s="3" t="n">
        <v>85.7</v>
      </c>
      <c r="I39" s="3" t="n">
        <v>86</v>
      </c>
      <c r="J39" s="3" t="n">
        <v>429</v>
      </c>
      <c r="K39" s="3" t="n">
        <v>0</v>
      </c>
      <c r="L39" s="4" t="n">
        <v>1</v>
      </c>
    </row>
    <row r="40">
      <c r="A40" s="2" t="n">
        <v>46273</v>
      </c>
      <c r="B40" s="3" t="inlineStr">
        <is>
          <t>Cucumber</t>
        </is>
      </c>
      <c r="C40" s="3" t="n">
        <v>70</v>
      </c>
      <c r="D40" s="3" t="n">
        <v>48</v>
      </c>
      <c r="E40" s="3" t="n">
        <v>159</v>
      </c>
      <c r="F40" s="3">
        <f>C40+E40-D40-K40</f>
        <v/>
      </c>
      <c r="G40" s="3" t="n">
        <v>2</v>
      </c>
      <c r="H40" s="3" t="n">
        <v>39.7</v>
      </c>
      <c r="I40" s="3" t="n">
        <v>28</v>
      </c>
      <c r="J40" s="3" t="n">
        <v>107</v>
      </c>
      <c r="K40" s="3" t="n">
        <v>0</v>
      </c>
      <c r="L40" s="4" t="n">
        <v>1</v>
      </c>
    </row>
    <row r="41">
      <c r="A41" s="2" t="n">
        <v>46273</v>
      </c>
      <c r="B41" s="3" t="inlineStr">
        <is>
          <t>Capsicum</t>
        </is>
      </c>
      <c r="C41" s="3" t="n">
        <v>109</v>
      </c>
      <c r="D41" s="3" t="n">
        <v>24</v>
      </c>
      <c r="E41" s="3" t="n">
        <v>155</v>
      </c>
      <c r="F41" s="3">
        <f>C41+E41-D41-K41</f>
        <v/>
      </c>
      <c r="G41" s="3" t="n">
        <v>3</v>
      </c>
      <c r="H41" s="3" t="n">
        <v>31</v>
      </c>
      <c r="I41" s="3" t="n">
        <v>27</v>
      </c>
      <c r="J41" s="3" t="n">
        <v>120</v>
      </c>
      <c r="K41" s="3" t="n">
        <v>0</v>
      </c>
      <c r="L41" s="4" t="n">
        <v>1</v>
      </c>
    </row>
    <row r="42">
      <c r="A42" s="2" t="n">
        <v>46274</v>
      </c>
      <c r="B42" s="3" t="inlineStr">
        <is>
          <t>Tomato</t>
        </is>
      </c>
      <c r="C42" s="3" t="n">
        <v>427</v>
      </c>
      <c r="D42" s="3" t="n">
        <v>66</v>
      </c>
      <c r="E42" s="3" t="n">
        <v>0</v>
      </c>
      <c r="F42" s="3">
        <f>C42+E42-D42-K42</f>
        <v/>
      </c>
      <c r="G42" s="3" t="n">
        <v>3</v>
      </c>
      <c r="H42" s="3" t="n">
        <v>59</v>
      </c>
      <c r="I42" s="3" t="n">
        <v>51</v>
      </c>
      <c r="J42" s="3" t="n">
        <v>228</v>
      </c>
      <c r="K42" s="3" t="n">
        <v>0</v>
      </c>
      <c r="L42" s="4" t="n">
        <v>1</v>
      </c>
    </row>
    <row r="43">
      <c r="A43" s="2" t="n">
        <v>46274</v>
      </c>
      <c r="B43" s="3" t="inlineStr">
        <is>
          <t>Onion</t>
        </is>
      </c>
      <c r="C43" s="3" t="n">
        <v>366</v>
      </c>
      <c r="D43" s="3" t="n">
        <v>79</v>
      </c>
      <c r="E43" s="3" t="n">
        <v>0</v>
      </c>
      <c r="F43" s="3">
        <f>C43+E43-D43-K43</f>
        <v/>
      </c>
      <c r="G43" s="3" t="n">
        <v>4</v>
      </c>
      <c r="H43" s="3" t="n">
        <v>66.90000000000001</v>
      </c>
      <c r="I43" s="3" t="n">
        <v>67</v>
      </c>
      <c r="J43" s="3" t="n">
        <v>334</v>
      </c>
      <c r="K43" s="3" t="n">
        <v>0</v>
      </c>
      <c r="L43" s="4" t="n">
        <v>1</v>
      </c>
    </row>
    <row r="44">
      <c r="A44" s="2" t="n">
        <v>46274</v>
      </c>
      <c r="B44" s="3" t="inlineStr">
        <is>
          <t>Potato</t>
        </is>
      </c>
      <c r="C44" s="3" t="n">
        <v>360</v>
      </c>
      <c r="D44" s="3" t="n">
        <v>65</v>
      </c>
      <c r="E44" s="3" t="n">
        <v>520</v>
      </c>
      <c r="F44" s="3">
        <f>C44+E44-D44-K44</f>
        <v/>
      </c>
      <c r="G44" s="3" t="n">
        <v>4</v>
      </c>
      <c r="H44" s="3" t="n">
        <v>86.7</v>
      </c>
      <c r="I44" s="3" t="n">
        <v>87</v>
      </c>
      <c r="J44" s="3" t="n">
        <v>434</v>
      </c>
      <c r="K44" s="3" t="n">
        <v>0</v>
      </c>
      <c r="L44" s="4" t="n">
        <v>1</v>
      </c>
    </row>
    <row r="45">
      <c r="A45" s="2" t="n">
        <v>46274</v>
      </c>
      <c r="B45" s="3" t="inlineStr">
        <is>
          <t>Cucumber</t>
        </is>
      </c>
      <c r="C45" s="3" t="n">
        <v>181</v>
      </c>
      <c r="D45" s="3" t="n">
        <v>32</v>
      </c>
      <c r="E45" s="3" t="n">
        <v>0</v>
      </c>
      <c r="F45" s="3">
        <f>C45+E45-D45-K45</f>
        <v/>
      </c>
      <c r="G45" s="3" t="n">
        <v>2</v>
      </c>
      <c r="H45" s="3" t="n">
        <v>42</v>
      </c>
      <c r="I45" s="3" t="n">
        <v>30</v>
      </c>
      <c r="J45" s="3" t="n">
        <v>114</v>
      </c>
      <c r="K45" s="3" t="n">
        <v>0</v>
      </c>
      <c r="L45" s="4" t="n">
        <v>1</v>
      </c>
    </row>
    <row r="46">
      <c r="A46" s="2" t="n">
        <v>46274</v>
      </c>
      <c r="B46" s="3" t="inlineStr">
        <is>
          <t>Capsicum</t>
        </is>
      </c>
      <c r="C46" s="3" t="n">
        <v>240</v>
      </c>
      <c r="D46" s="3" t="n">
        <v>34</v>
      </c>
      <c r="E46" s="3" t="n">
        <v>0</v>
      </c>
      <c r="F46" s="3">
        <f>C46+E46-D46-K46</f>
        <v/>
      </c>
      <c r="G46" s="3" t="n">
        <v>3</v>
      </c>
      <c r="H46" s="3" t="n">
        <v>30.1</v>
      </c>
      <c r="I46" s="3" t="n">
        <v>26</v>
      </c>
      <c r="J46" s="3" t="n">
        <v>116</v>
      </c>
      <c r="K46" s="3" t="n">
        <v>0</v>
      </c>
      <c r="L46" s="4" t="n">
        <v>1</v>
      </c>
    </row>
    <row r="47">
      <c r="A47" s="2" t="n">
        <v>46275</v>
      </c>
      <c r="B47" s="3" t="inlineStr">
        <is>
          <t>Tomato</t>
        </is>
      </c>
      <c r="C47" s="3" t="n">
        <v>361</v>
      </c>
      <c r="D47" s="3" t="n">
        <v>57</v>
      </c>
      <c r="E47" s="3" t="n">
        <v>0</v>
      </c>
      <c r="F47" s="3">
        <f>C47+E47-D47-K47</f>
        <v/>
      </c>
      <c r="G47" s="3" t="n">
        <v>3</v>
      </c>
      <c r="H47" s="3" t="n">
        <v>60</v>
      </c>
      <c r="I47" s="3" t="n">
        <v>52</v>
      </c>
      <c r="J47" s="3" t="n">
        <v>232</v>
      </c>
      <c r="K47" s="3" t="n">
        <v>0</v>
      </c>
      <c r="L47" s="4" t="n">
        <v>1</v>
      </c>
    </row>
    <row r="48">
      <c r="A48" s="2" t="n">
        <v>46275</v>
      </c>
      <c r="B48" s="3" t="inlineStr">
        <is>
          <t>Onion</t>
        </is>
      </c>
      <c r="C48" s="3" t="n">
        <v>287</v>
      </c>
      <c r="D48" s="3" t="n">
        <v>69</v>
      </c>
      <c r="E48" s="3" t="n">
        <v>406</v>
      </c>
      <c r="F48" s="3">
        <f>C48+E48-D48-K48</f>
        <v/>
      </c>
      <c r="G48" s="3" t="n">
        <v>4</v>
      </c>
      <c r="H48" s="3" t="n">
        <v>67.7</v>
      </c>
      <c r="I48" s="3" t="n">
        <v>68</v>
      </c>
      <c r="J48" s="3" t="n">
        <v>339</v>
      </c>
      <c r="K48" s="3" t="n">
        <v>0</v>
      </c>
      <c r="L48" s="4" t="n">
        <v>1</v>
      </c>
    </row>
    <row r="49">
      <c r="A49" s="2" t="n">
        <v>46275</v>
      </c>
      <c r="B49" s="3" t="inlineStr">
        <is>
          <t>Potato</t>
        </is>
      </c>
      <c r="C49" s="3" t="n">
        <v>815</v>
      </c>
      <c r="D49" s="3" t="n">
        <v>81</v>
      </c>
      <c r="E49" s="3" t="n">
        <v>0</v>
      </c>
      <c r="F49" s="3">
        <f>C49+E49-D49-K49</f>
        <v/>
      </c>
      <c r="G49" s="3" t="n">
        <v>4</v>
      </c>
      <c r="H49" s="3" t="n">
        <v>84.59999999999999</v>
      </c>
      <c r="I49" s="3" t="n">
        <v>85</v>
      </c>
      <c r="J49" s="3" t="n">
        <v>423</v>
      </c>
      <c r="K49" s="3" t="n">
        <v>0</v>
      </c>
      <c r="L49" s="4" t="n">
        <v>1</v>
      </c>
    </row>
    <row r="50">
      <c r="A50" s="2" t="n">
        <v>46275</v>
      </c>
      <c r="B50" s="3" t="inlineStr">
        <is>
          <t>Cucumber</t>
        </is>
      </c>
      <c r="C50" s="3" t="n">
        <v>149</v>
      </c>
      <c r="D50" s="3" t="n">
        <v>30</v>
      </c>
      <c r="E50" s="3" t="n">
        <v>0</v>
      </c>
      <c r="F50" s="3">
        <f>C50+E50-D50-K50</f>
        <v/>
      </c>
      <c r="G50" s="3" t="n">
        <v>2</v>
      </c>
      <c r="H50" s="3" t="n">
        <v>41.9</v>
      </c>
      <c r="I50" s="3" t="n">
        <v>30</v>
      </c>
      <c r="J50" s="3" t="n">
        <v>114</v>
      </c>
      <c r="K50" s="3" t="n">
        <v>0</v>
      </c>
      <c r="L50" s="4" t="n">
        <v>1</v>
      </c>
    </row>
    <row r="51">
      <c r="A51" s="2" t="n">
        <v>46275</v>
      </c>
      <c r="B51" s="3" t="inlineStr">
        <is>
          <t>Capsicum</t>
        </is>
      </c>
      <c r="C51" s="3" t="n">
        <v>206</v>
      </c>
      <c r="D51" s="3" t="n">
        <v>34</v>
      </c>
      <c r="E51" s="3" t="n">
        <v>0</v>
      </c>
      <c r="F51" s="3">
        <f>C51+E51-D51-K51</f>
        <v/>
      </c>
      <c r="G51" s="3" t="n">
        <v>3</v>
      </c>
      <c r="H51" s="3" t="n">
        <v>31.3</v>
      </c>
      <c r="I51" s="3" t="n">
        <v>27</v>
      </c>
      <c r="J51" s="3" t="n">
        <v>121</v>
      </c>
      <c r="K51" s="3" t="n">
        <v>0</v>
      </c>
      <c r="L51" s="4" t="n">
        <v>1</v>
      </c>
    </row>
    <row r="52">
      <c r="A52" s="2" t="n">
        <v>46276</v>
      </c>
      <c r="B52" s="3" t="inlineStr">
        <is>
          <t>Tomato</t>
        </is>
      </c>
      <c r="C52" s="3" t="n">
        <v>304</v>
      </c>
      <c r="D52" s="3" t="n">
        <v>62</v>
      </c>
      <c r="E52" s="3" t="n">
        <v>0</v>
      </c>
      <c r="F52" s="3">
        <f>C52+E52-D52-K52</f>
        <v/>
      </c>
      <c r="G52" s="3" t="n">
        <v>3</v>
      </c>
      <c r="H52" s="3" t="n">
        <v>58.7</v>
      </c>
      <c r="I52" s="3" t="n">
        <v>51</v>
      </c>
      <c r="J52" s="3" t="n">
        <v>227</v>
      </c>
      <c r="K52" s="3" t="n">
        <v>48</v>
      </c>
      <c r="L52" s="4" t="n">
        <v>1</v>
      </c>
    </row>
    <row r="53">
      <c r="A53" s="2" t="n">
        <v>46276</v>
      </c>
      <c r="B53" s="3" t="inlineStr">
        <is>
          <t>Onion</t>
        </is>
      </c>
      <c r="C53" s="3" t="n">
        <v>624</v>
      </c>
      <c r="D53" s="3" t="n">
        <v>75</v>
      </c>
      <c r="E53" s="3" t="n">
        <v>0</v>
      </c>
      <c r="F53" s="3">
        <f>C53+E53-D53-K53</f>
        <v/>
      </c>
      <c r="G53" s="3" t="n">
        <v>4</v>
      </c>
      <c r="H53" s="3" t="n">
        <v>68.09999999999999</v>
      </c>
      <c r="I53" s="3" t="n">
        <v>68</v>
      </c>
      <c r="J53" s="3" t="n">
        <v>341</v>
      </c>
      <c r="K53" s="3" t="n">
        <v>82</v>
      </c>
      <c r="L53" s="4" t="n">
        <v>1</v>
      </c>
    </row>
    <row r="54">
      <c r="A54" s="2" t="n">
        <v>46276</v>
      </c>
      <c r="B54" s="3" t="inlineStr">
        <is>
          <t>Potato</t>
        </is>
      </c>
      <c r="C54" s="3" t="n">
        <v>734</v>
      </c>
      <c r="D54" s="3" t="n">
        <v>74</v>
      </c>
      <c r="E54" s="3" t="n">
        <v>0</v>
      </c>
      <c r="F54" s="3">
        <f>C54+E54-D54-K54</f>
        <v/>
      </c>
      <c r="G54" s="3" t="n">
        <v>4</v>
      </c>
      <c r="H54" s="3" t="n">
        <v>83.3</v>
      </c>
      <c r="I54" s="3" t="n">
        <v>83</v>
      </c>
      <c r="J54" s="3" t="n">
        <v>416</v>
      </c>
      <c r="K54" s="3" t="n">
        <v>79</v>
      </c>
      <c r="L54" s="4" t="n">
        <v>1</v>
      </c>
    </row>
    <row r="55">
      <c r="A55" s="2" t="n">
        <v>46276</v>
      </c>
      <c r="B55" s="3" t="inlineStr">
        <is>
          <t>Cucumber</t>
        </is>
      </c>
      <c r="C55" s="3" t="n">
        <v>119</v>
      </c>
      <c r="D55" s="3" t="n">
        <v>46</v>
      </c>
      <c r="E55" s="3" t="n">
        <v>0</v>
      </c>
      <c r="F55" s="3">
        <f>C55+E55-D55-K55</f>
        <v/>
      </c>
      <c r="G55" s="3" t="n">
        <v>2</v>
      </c>
      <c r="H55" s="3" t="n">
        <v>39.7</v>
      </c>
      <c r="I55" s="3" t="n">
        <v>28</v>
      </c>
      <c r="J55" s="3" t="n">
        <v>107</v>
      </c>
      <c r="K55" s="3" t="n">
        <v>18</v>
      </c>
      <c r="L55" s="4" t="n">
        <v>1</v>
      </c>
    </row>
    <row r="56">
      <c r="A56" s="2" t="n">
        <v>46276</v>
      </c>
      <c r="B56" s="3" t="inlineStr">
        <is>
          <t>Capsicum</t>
        </is>
      </c>
      <c r="C56" s="3" t="n">
        <v>172</v>
      </c>
      <c r="D56" s="3" t="n">
        <v>36</v>
      </c>
      <c r="E56" s="3" t="n">
        <v>0</v>
      </c>
      <c r="F56" s="3">
        <f>C56+E56-D56-K56</f>
        <v/>
      </c>
      <c r="G56" s="3" t="n">
        <v>3</v>
      </c>
      <c r="H56" s="3" t="n">
        <v>30.9</v>
      </c>
      <c r="I56" s="3" t="n">
        <v>27</v>
      </c>
      <c r="J56" s="3" t="n">
        <v>120</v>
      </c>
      <c r="K56" s="3" t="n">
        <v>27</v>
      </c>
      <c r="L56" s="4" t="n">
        <v>1</v>
      </c>
    </row>
    <row r="57">
      <c r="A57" s="2" t="n">
        <v>46277</v>
      </c>
      <c r="B57" s="3" t="inlineStr">
        <is>
          <t>Tomato</t>
        </is>
      </c>
      <c r="C57" s="3" t="n">
        <v>194</v>
      </c>
      <c r="D57" s="3" t="n">
        <v>61</v>
      </c>
      <c r="E57" s="3" t="n">
        <v>284</v>
      </c>
      <c r="F57" s="3">
        <f>C57+E57-D57-K57</f>
        <v/>
      </c>
      <c r="G57" s="3" t="n">
        <v>3</v>
      </c>
      <c r="H57" s="3" t="n">
        <v>56.9</v>
      </c>
      <c r="I57" s="3" t="n">
        <v>49</v>
      </c>
      <c r="J57" s="3" t="n">
        <v>220</v>
      </c>
      <c r="K57" s="3" t="n">
        <v>0</v>
      </c>
      <c r="L57" s="4" t="n">
        <v>1</v>
      </c>
    </row>
    <row r="58">
      <c r="A58" s="2" t="n">
        <v>46277</v>
      </c>
      <c r="B58" s="3" t="inlineStr">
        <is>
          <t>Onion</t>
        </is>
      </c>
      <c r="C58" s="3" t="n">
        <v>467</v>
      </c>
      <c r="D58" s="3" t="n">
        <v>56</v>
      </c>
      <c r="E58" s="3" t="n">
        <v>0</v>
      </c>
      <c r="F58" s="3">
        <f>C58+E58-D58-K58</f>
        <v/>
      </c>
      <c r="G58" s="3" t="n">
        <v>4</v>
      </c>
      <c r="H58" s="3" t="n">
        <v>70</v>
      </c>
      <c r="I58" s="3" t="n">
        <v>70</v>
      </c>
      <c r="J58" s="3" t="n">
        <v>350</v>
      </c>
      <c r="K58" s="3" t="n">
        <v>0</v>
      </c>
      <c r="L58" s="4" t="n">
        <v>1</v>
      </c>
    </row>
    <row r="59">
      <c r="A59" s="2" t="n">
        <v>46277</v>
      </c>
      <c r="B59" s="3" t="inlineStr">
        <is>
          <t>Potato</t>
        </is>
      </c>
      <c r="C59" s="3" t="n">
        <v>581</v>
      </c>
      <c r="D59" s="3" t="n">
        <v>65</v>
      </c>
      <c r="E59" s="3" t="n">
        <v>0</v>
      </c>
      <c r="F59" s="3">
        <f>C59+E59-D59-K59</f>
        <v/>
      </c>
      <c r="G59" s="3" t="n">
        <v>4</v>
      </c>
      <c r="H59" s="3" t="n">
        <v>84</v>
      </c>
      <c r="I59" s="3" t="n">
        <v>84</v>
      </c>
      <c r="J59" s="3" t="n">
        <v>420</v>
      </c>
      <c r="K59" s="3" t="n">
        <v>0</v>
      </c>
      <c r="L59" s="4" t="n">
        <v>1</v>
      </c>
    </row>
    <row r="60">
      <c r="A60" s="2" t="n">
        <v>46277</v>
      </c>
      <c r="B60" s="3" t="inlineStr">
        <is>
          <t>Cucumber</t>
        </is>
      </c>
      <c r="C60" s="3" t="n">
        <v>55</v>
      </c>
      <c r="D60" s="3" t="n">
        <v>31</v>
      </c>
      <c r="E60" s="3" t="n">
        <v>160</v>
      </c>
      <c r="F60" s="3">
        <f>C60+E60-D60-K60</f>
        <v/>
      </c>
      <c r="G60" s="3" t="n">
        <v>2</v>
      </c>
      <c r="H60" s="3" t="n">
        <v>40</v>
      </c>
      <c r="I60" s="3" t="n">
        <v>28</v>
      </c>
      <c r="J60" s="3" t="n">
        <v>108</v>
      </c>
      <c r="K60" s="3" t="n">
        <v>0</v>
      </c>
      <c r="L60" s="4" t="n">
        <v>1</v>
      </c>
    </row>
    <row r="61">
      <c r="A61" s="2" t="n">
        <v>46277</v>
      </c>
      <c r="B61" s="3" t="inlineStr">
        <is>
          <t>Capsicum</t>
        </is>
      </c>
      <c r="C61" s="3" t="n">
        <v>109</v>
      </c>
      <c r="D61" s="3" t="n">
        <v>23</v>
      </c>
      <c r="E61" s="3" t="n">
        <v>157</v>
      </c>
      <c r="F61" s="3">
        <f>C61+E61-D61-K61</f>
        <v/>
      </c>
      <c r="G61" s="3" t="n">
        <v>3</v>
      </c>
      <c r="H61" s="3" t="n">
        <v>31.4</v>
      </c>
      <c r="I61" s="3" t="n">
        <v>27</v>
      </c>
      <c r="J61" s="3" t="n">
        <v>121</v>
      </c>
      <c r="K61" s="3" t="n">
        <v>0</v>
      </c>
      <c r="L61" s="4" t="n">
        <v>1</v>
      </c>
    </row>
    <row r="62">
      <c r="A62" s="2" t="n">
        <v>46278</v>
      </c>
      <c r="B62" s="3" t="inlineStr">
        <is>
          <t>Tomato</t>
        </is>
      </c>
      <c r="C62" s="3" t="n">
        <v>417</v>
      </c>
      <c r="D62" s="3" t="n">
        <v>64</v>
      </c>
      <c r="E62" s="3" t="n">
        <v>0</v>
      </c>
      <c r="F62" s="3">
        <f>C62+E62-D62-K62</f>
        <v/>
      </c>
      <c r="G62" s="3" t="n">
        <v>3</v>
      </c>
      <c r="H62" s="3" t="n">
        <v>58.6</v>
      </c>
      <c r="I62" s="3" t="n">
        <v>51</v>
      </c>
      <c r="J62" s="3" t="n">
        <v>227</v>
      </c>
      <c r="K62" s="3" t="n">
        <v>0</v>
      </c>
      <c r="L62" s="4" t="n">
        <v>1</v>
      </c>
    </row>
    <row r="63">
      <c r="A63" s="2" t="n">
        <v>46278</v>
      </c>
      <c r="B63" s="3" t="inlineStr">
        <is>
          <t>Onion</t>
        </is>
      </c>
      <c r="C63" s="3" t="n">
        <v>411</v>
      </c>
      <c r="D63" s="3" t="n">
        <v>75</v>
      </c>
      <c r="E63" s="3" t="n">
        <v>0</v>
      </c>
      <c r="F63" s="3">
        <f>C63+E63-D63-K63</f>
        <v/>
      </c>
      <c r="G63" s="3" t="n">
        <v>4</v>
      </c>
      <c r="H63" s="3" t="n">
        <v>66.40000000000001</v>
      </c>
      <c r="I63" s="3" t="n">
        <v>66</v>
      </c>
      <c r="J63" s="3" t="n">
        <v>332</v>
      </c>
      <c r="K63" s="3" t="n">
        <v>0</v>
      </c>
      <c r="L63" s="4" t="n">
        <v>1</v>
      </c>
    </row>
    <row r="64">
      <c r="A64" s="2" t="n">
        <v>46278</v>
      </c>
      <c r="B64" s="3" t="inlineStr">
        <is>
          <t>Potato</t>
        </is>
      </c>
      <c r="C64" s="3" t="n">
        <v>516</v>
      </c>
      <c r="D64" s="3" t="n">
        <v>67</v>
      </c>
      <c r="E64" s="3" t="n">
        <v>0</v>
      </c>
      <c r="F64" s="3">
        <f>C64+E64-D64-K64</f>
        <v/>
      </c>
      <c r="G64" s="3" t="n">
        <v>4</v>
      </c>
      <c r="H64" s="3" t="n">
        <v>79</v>
      </c>
      <c r="I64" s="3" t="n">
        <v>79</v>
      </c>
      <c r="J64" s="3" t="n">
        <v>395</v>
      </c>
      <c r="K64" s="3" t="n">
        <v>0</v>
      </c>
      <c r="L64" s="4" t="n">
        <v>1</v>
      </c>
    </row>
    <row r="65">
      <c r="A65" s="2" t="n">
        <v>46278</v>
      </c>
      <c r="B65" s="3" t="inlineStr">
        <is>
          <t>Cucumber</t>
        </is>
      </c>
      <c r="C65" s="3" t="n">
        <v>184</v>
      </c>
      <c r="D65" s="3" t="n">
        <v>48</v>
      </c>
      <c r="E65" s="3" t="n">
        <v>0</v>
      </c>
      <c r="F65" s="3">
        <f>C65+E65-D65-K65</f>
        <v/>
      </c>
      <c r="G65" s="3" t="n">
        <v>2</v>
      </c>
      <c r="H65" s="3" t="n">
        <v>37.9</v>
      </c>
      <c r="I65" s="3" t="n">
        <v>27</v>
      </c>
      <c r="J65" s="3" t="n">
        <v>103</v>
      </c>
      <c r="K65" s="3" t="n">
        <v>0</v>
      </c>
      <c r="L65" s="4" t="n">
        <v>1</v>
      </c>
    </row>
    <row r="66">
      <c r="A66" s="2" t="n">
        <v>46278</v>
      </c>
      <c r="B66" s="3" t="inlineStr">
        <is>
          <t>Capsicum</t>
        </is>
      </c>
      <c r="C66" s="3" t="n">
        <v>243</v>
      </c>
      <c r="D66" s="3" t="n">
        <v>33</v>
      </c>
      <c r="E66" s="3" t="n">
        <v>0</v>
      </c>
      <c r="F66" s="3">
        <f>C66+E66-D66-K66</f>
        <v/>
      </c>
      <c r="G66" s="3" t="n">
        <v>3</v>
      </c>
      <c r="H66" s="3" t="n">
        <v>31.1</v>
      </c>
      <c r="I66" s="3" t="n">
        <v>27</v>
      </c>
      <c r="J66" s="3" t="n">
        <v>120</v>
      </c>
      <c r="K66" s="3" t="n">
        <v>0</v>
      </c>
      <c r="L66" s="4" t="n">
        <v>1</v>
      </c>
    </row>
    <row r="67">
      <c r="A67" s="2" t="n">
        <v>46279</v>
      </c>
      <c r="B67" s="3" t="inlineStr">
        <is>
          <t>Tomato</t>
        </is>
      </c>
      <c r="C67" s="3" t="n">
        <v>353</v>
      </c>
      <c r="D67" s="3" t="n">
        <v>69</v>
      </c>
      <c r="E67" s="3" t="n">
        <v>0</v>
      </c>
      <c r="F67" s="3">
        <f>C67+E67-D67-K67</f>
        <v/>
      </c>
      <c r="G67" s="3" t="n">
        <v>3</v>
      </c>
      <c r="H67" s="3" t="n">
        <v>60.3</v>
      </c>
      <c r="I67" s="3" t="n">
        <v>52</v>
      </c>
      <c r="J67" s="3" t="n">
        <v>233</v>
      </c>
      <c r="K67" s="3" t="n">
        <v>0</v>
      </c>
      <c r="L67" s="4" t="n">
        <v>1</v>
      </c>
    </row>
    <row r="68">
      <c r="A68" s="2" t="n">
        <v>46279</v>
      </c>
      <c r="B68" s="3" t="inlineStr">
        <is>
          <t>Onion</t>
        </is>
      </c>
      <c r="C68" s="3" t="n">
        <v>336</v>
      </c>
      <c r="D68" s="3" t="n">
        <v>87</v>
      </c>
      <c r="E68" s="3" t="n">
        <v>418</v>
      </c>
      <c r="F68" s="3">
        <f>C68+E68-D68-K68</f>
        <v/>
      </c>
      <c r="G68" s="3" t="n">
        <v>4</v>
      </c>
      <c r="H68" s="3" t="n">
        <v>69.7</v>
      </c>
      <c r="I68" s="3" t="n">
        <v>70</v>
      </c>
      <c r="J68" s="3" t="n">
        <v>349</v>
      </c>
      <c r="K68" s="3" t="n">
        <v>0</v>
      </c>
      <c r="L68" s="4" t="n">
        <v>1</v>
      </c>
    </row>
    <row r="69">
      <c r="A69" s="2" t="n">
        <v>46279</v>
      </c>
      <c r="B69" s="3" t="inlineStr">
        <is>
          <t>Potato</t>
        </is>
      </c>
      <c r="C69" s="3" t="n">
        <v>449</v>
      </c>
      <c r="D69" s="3" t="n">
        <v>90</v>
      </c>
      <c r="E69" s="3" t="n">
        <v>0</v>
      </c>
      <c r="F69" s="3">
        <f>C69+E69-D69-K69</f>
        <v/>
      </c>
      <c r="G69" s="3" t="n">
        <v>4</v>
      </c>
      <c r="H69" s="3" t="n">
        <v>73.7</v>
      </c>
      <c r="I69" s="3" t="n">
        <v>74</v>
      </c>
      <c r="J69" s="3" t="n">
        <v>369</v>
      </c>
      <c r="K69" s="3" t="n">
        <v>0</v>
      </c>
      <c r="L69" s="4" t="n">
        <v>1</v>
      </c>
    </row>
    <row r="70">
      <c r="A70" s="2" t="n">
        <v>46279</v>
      </c>
      <c r="B70" s="3" t="inlineStr">
        <is>
          <t>Cucumber</t>
        </is>
      </c>
      <c r="C70" s="3" t="n">
        <v>136</v>
      </c>
      <c r="D70" s="3" t="n">
        <v>39</v>
      </c>
      <c r="E70" s="3" t="n">
        <v>0</v>
      </c>
      <c r="F70" s="3">
        <f>C70+E70-D70-K70</f>
        <v/>
      </c>
      <c r="G70" s="3" t="n">
        <v>2</v>
      </c>
      <c r="H70" s="3" t="n">
        <v>40.1</v>
      </c>
      <c r="I70" s="3" t="n">
        <v>28</v>
      </c>
      <c r="J70" s="3" t="n">
        <v>108</v>
      </c>
      <c r="K70" s="3" t="n">
        <v>0</v>
      </c>
      <c r="L70" s="4" t="n">
        <v>1</v>
      </c>
    </row>
    <row r="71">
      <c r="A71" s="2" t="n">
        <v>46279</v>
      </c>
      <c r="B71" s="3" t="inlineStr">
        <is>
          <t>Capsicum</t>
        </is>
      </c>
      <c r="C71" s="3" t="n">
        <v>210</v>
      </c>
      <c r="D71" s="3" t="n">
        <v>39</v>
      </c>
      <c r="E71" s="3" t="n">
        <v>0</v>
      </c>
      <c r="F71" s="3">
        <f>C71+E71-D71-K71</f>
        <v/>
      </c>
      <c r="G71" s="3" t="n">
        <v>3</v>
      </c>
      <c r="H71" s="3" t="n">
        <v>30.9</v>
      </c>
      <c r="I71" s="3" t="n">
        <v>27</v>
      </c>
      <c r="J71" s="3" t="n">
        <v>120</v>
      </c>
      <c r="K71" s="3" t="n">
        <v>0</v>
      </c>
      <c r="L71" s="4" t="n">
        <v>1</v>
      </c>
    </row>
    <row r="72">
      <c r="A72" s="2" t="n">
        <v>46280</v>
      </c>
      <c r="B72" s="3" t="inlineStr">
        <is>
          <t>Tomato</t>
        </is>
      </c>
      <c r="C72" s="3" t="n">
        <v>284</v>
      </c>
      <c r="D72" s="3" t="n">
        <v>46</v>
      </c>
      <c r="E72" s="3" t="n">
        <v>0</v>
      </c>
      <c r="F72" s="3">
        <f>C72+E72-D72-K72</f>
        <v/>
      </c>
      <c r="G72" s="3" t="n">
        <v>3</v>
      </c>
      <c r="H72" s="3" t="n">
        <v>61.6</v>
      </c>
      <c r="I72" s="3" t="n">
        <v>53</v>
      </c>
      <c r="J72" s="3" t="n">
        <v>238</v>
      </c>
      <c r="K72" s="3" t="n">
        <v>0</v>
      </c>
      <c r="L72" s="4" t="n">
        <v>1</v>
      </c>
    </row>
    <row r="73">
      <c r="A73" s="2" t="n">
        <v>46280</v>
      </c>
      <c r="B73" s="3" t="inlineStr">
        <is>
          <t>Onion</t>
        </is>
      </c>
      <c r="C73" s="3" t="n">
        <v>667</v>
      </c>
      <c r="D73" s="3" t="n">
        <v>82</v>
      </c>
      <c r="E73" s="3" t="n">
        <v>0</v>
      </c>
      <c r="F73" s="3">
        <f>C73+E73-D73-K73</f>
        <v/>
      </c>
      <c r="G73" s="3" t="n">
        <v>4</v>
      </c>
      <c r="H73" s="3" t="n">
        <v>71.09999999999999</v>
      </c>
      <c r="I73" s="3" t="n">
        <v>71</v>
      </c>
      <c r="J73" s="3" t="n">
        <v>356</v>
      </c>
      <c r="K73" s="3" t="n">
        <v>0</v>
      </c>
      <c r="L73" s="4" t="n">
        <v>1</v>
      </c>
    </row>
    <row r="74">
      <c r="A74" s="2" t="n">
        <v>46280</v>
      </c>
      <c r="B74" s="3" t="inlineStr">
        <is>
          <t>Potato</t>
        </is>
      </c>
      <c r="C74" s="3" t="n">
        <v>359</v>
      </c>
      <c r="D74" s="3" t="n">
        <v>100</v>
      </c>
      <c r="E74" s="3" t="n">
        <v>448</v>
      </c>
      <c r="F74" s="3">
        <f>C74+E74-D74-K74</f>
        <v/>
      </c>
      <c r="G74" s="3" t="n">
        <v>4</v>
      </c>
      <c r="H74" s="3" t="n">
        <v>74.7</v>
      </c>
      <c r="I74" s="3" t="n">
        <v>75</v>
      </c>
      <c r="J74" s="3" t="n">
        <v>374</v>
      </c>
      <c r="K74" s="3" t="n">
        <v>0</v>
      </c>
      <c r="L74" s="4" t="n">
        <v>1</v>
      </c>
    </row>
    <row r="75">
      <c r="A75" s="2" t="n">
        <v>46280</v>
      </c>
      <c r="B75" s="3" t="inlineStr">
        <is>
          <t>Cucumber</t>
        </is>
      </c>
      <c r="C75" s="3" t="n">
        <v>97</v>
      </c>
      <c r="D75" s="3" t="n">
        <v>38</v>
      </c>
      <c r="E75" s="3" t="n">
        <v>157</v>
      </c>
      <c r="F75" s="3">
        <f>C75+E75-D75-K75</f>
        <v/>
      </c>
      <c r="G75" s="3" t="n">
        <v>2</v>
      </c>
      <c r="H75" s="3" t="n">
        <v>39.1</v>
      </c>
      <c r="I75" s="3" t="n">
        <v>28</v>
      </c>
      <c r="J75" s="3" t="n">
        <v>106</v>
      </c>
      <c r="K75" s="3" t="n">
        <v>0</v>
      </c>
      <c r="L75" s="4" t="n">
        <v>1</v>
      </c>
    </row>
    <row r="76">
      <c r="A76" s="2" t="n">
        <v>46280</v>
      </c>
      <c r="B76" s="3" t="inlineStr">
        <is>
          <t>Capsicum</t>
        </is>
      </c>
      <c r="C76" s="3" t="n">
        <v>171</v>
      </c>
      <c r="D76" s="3" t="n">
        <v>36</v>
      </c>
      <c r="E76" s="3" t="n">
        <v>0</v>
      </c>
      <c r="F76" s="3">
        <f>C76+E76-D76-K76</f>
        <v/>
      </c>
      <c r="G76" s="3" t="n">
        <v>3</v>
      </c>
      <c r="H76" s="3" t="n">
        <v>31.9</v>
      </c>
      <c r="I76" s="3" t="n">
        <v>28</v>
      </c>
      <c r="J76" s="3" t="n">
        <v>124</v>
      </c>
      <c r="K76" s="3" t="n">
        <v>0</v>
      </c>
      <c r="L76" s="4" t="n">
        <v>1</v>
      </c>
    </row>
    <row r="77">
      <c r="A77" s="2" t="n">
        <v>46281</v>
      </c>
      <c r="B77" s="3" t="inlineStr">
        <is>
          <t>Tomato</t>
        </is>
      </c>
      <c r="C77" s="3" t="n">
        <v>238</v>
      </c>
      <c r="D77" s="3" t="n">
        <v>48</v>
      </c>
      <c r="E77" s="3" t="n">
        <v>0</v>
      </c>
      <c r="F77" s="3">
        <f>C77+E77-D77-K77</f>
        <v/>
      </c>
      <c r="G77" s="3" t="n">
        <v>3</v>
      </c>
      <c r="H77" s="3" t="n">
        <v>60.7</v>
      </c>
      <c r="I77" s="3" t="n">
        <v>53</v>
      </c>
      <c r="J77" s="3" t="n">
        <v>235</v>
      </c>
      <c r="K77" s="3" t="n">
        <v>38</v>
      </c>
      <c r="L77" s="4" t="n">
        <v>1</v>
      </c>
    </row>
    <row r="78">
      <c r="A78" s="2" t="n">
        <v>46281</v>
      </c>
      <c r="B78" s="3" t="inlineStr">
        <is>
          <t>Onion</t>
        </is>
      </c>
      <c r="C78" s="3" t="n">
        <v>585</v>
      </c>
      <c r="D78" s="3" t="n">
        <v>70</v>
      </c>
      <c r="E78" s="3" t="n">
        <v>0</v>
      </c>
      <c r="F78" s="3">
        <f>C78+E78-D78-K78</f>
        <v/>
      </c>
      <c r="G78" s="3" t="n">
        <v>4</v>
      </c>
      <c r="H78" s="3" t="n">
        <v>74.7</v>
      </c>
      <c r="I78" s="3" t="n">
        <v>75</v>
      </c>
      <c r="J78" s="3" t="n">
        <v>374</v>
      </c>
      <c r="K78" s="3" t="n">
        <v>77</v>
      </c>
      <c r="L78" s="4" t="n">
        <v>1</v>
      </c>
    </row>
    <row r="79">
      <c r="A79" s="2" t="n">
        <v>46281</v>
      </c>
      <c r="B79" s="3" t="inlineStr">
        <is>
          <t>Potato</t>
        </is>
      </c>
      <c r="C79" s="3" t="n">
        <v>707</v>
      </c>
      <c r="D79" s="3" t="n">
        <v>71</v>
      </c>
      <c r="E79" s="3" t="n">
        <v>0</v>
      </c>
      <c r="F79" s="3">
        <f>C79+E79-D79-K79</f>
        <v/>
      </c>
      <c r="G79" s="3" t="n">
        <v>4</v>
      </c>
      <c r="H79" s="3" t="n">
        <v>77.40000000000001</v>
      </c>
      <c r="I79" s="3" t="n">
        <v>77</v>
      </c>
      <c r="J79" s="3" t="n">
        <v>387</v>
      </c>
      <c r="K79" s="3" t="n">
        <v>76</v>
      </c>
      <c r="L79" s="4" t="n">
        <v>1</v>
      </c>
    </row>
    <row r="80">
      <c r="A80" s="2" t="n">
        <v>46281</v>
      </c>
      <c r="B80" s="3" t="inlineStr">
        <is>
          <t>Cucumber</t>
        </is>
      </c>
      <c r="C80" s="3" t="n">
        <v>216</v>
      </c>
      <c r="D80" s="3" t="n">
        <v>36</v>
      </c>
      <c r="E80" s="3" t="n">
        <v>0</v>
      </c>
      <c r="F80" s="3">
        <f>C80+E80-D80-K80</f>
        <v/>
      </c>
      <c r="G80" s="3" t="n">
        <v>2</v>
      </c>
      <c r="H80" s="3" t="n">
        <v>37.7</v>
      </c>
      <c r="I80" s="3" t="n">
        <v>27</v>
      </c>
      <c r="J80" s="3" t="n">
        <v>102</v>
      </c>
      <c r="K80" s="3" t="n">
        <v>45</v>
      </c>
      <c r="L80" s="4" t="n">
        <v>1</v>
      </c>
    </row>
    <row r="81">
      <c r="A81" s="2" t="n">
        <v>46281</v>
      </c>
      <c r="B81" s="3" t="inlineStr">
        <is>
          <t>Capsicum</t>
        </is>
      </c>
      <c r="C81" s="3" t="n">
        <v>135</v>
      </c>
      <c r="D81" s="3" t="n">
        <v>34</v>
      </c>
      <c r="E81" s="3" t="n">
        <v>0</v>
      </c>
      <c r="F81" s="3">
        <f>C81+E81-D81-K81</f>
        <v/>
      </c>
      <c r="G81" s="3" t="n">
        <v>3</v>
      </c>
      <c r="H81" s="3" t="n">
        <v>33.6</v>
      </c>
      <c r="I81" s="3" t="n">
        <v>29</v>
      </c>
      <c r="J81" s="3" t="n">
        <v>130</v>
      </c>
      <c r="K81" s="3" t="n">
        <v>20</v>
      </c>
      <c r="L81" s="4" t="n">
        <v>1</v>
      </c>
    </row>
    <row r="82">
      <c r="A82" s="2" t="n">
        <v>46282</v>
      </c>
      <c r="B82" s="3" t="inlineStr">
        <is>
          <t>Tomato</t>
        </is>
      </c>
      <c r="C82" s="3" t="n">
        <v>152</v>
      </c>
      <c r="D82" s="3" t="n">
        <v>47</v>
      </c>
      <c r="E82" s="3" t="n">
        <v>291</v>
      </c>
      <c r="F82" s="3">
        <f>C82+E82-D82-K82</f>
        <v/>
      </c>
      <c r="G82" s="3" t="n">
        <v>3</v>
      </c>
      <c r="H82" s="3" t="n">
        <v>58.1</v>
      </c>
      <c r="I82" s="3" t="n">
        <v>50</v>
      </c>
      <c r="J82" s="3" t="n">
        <v>224</v>
      </c>
      <c r="K82" s="3" t="n">
        <v>0</v>
      </c>
      <c r="L82" s="4" t="n">
        <v>1</v>
      </c>
    </row>
    <row r="83">
      <c r="A83" s="2" t="n">
        <v>46282</v>
      </c>
      <c r="B83" s="3" t="inlineStr">
        <is>
          <t>Onion</t>
        </is>
      </c>
      <c r="C83" s="3" t="n">
        <v>438</v>
      </c>
      <c r="D83" s="3" t="n">
        <v>66</v>
      </c>
      <c r="E83" s="3" t="n">
        <v>0</v>
      </c>
      <c r="F83" s="3">
        <f>C83+E83-D83-K83</f>
        <v/>
      </c>
      <c r="G83" s="3" t="n">
        <v>4</v>
      </c>
      <c r="H83" s="3" t="n">
        <v>73.40000000000001</v>
      </c>
      <c r="I83" s="3" t="n">
        <v>73</v>
      </c>
      <c r="J83" s="3" t="n">
        <v>367</v>
      </c>
      <c r="K83" s="3" t="n">
        <v>0</v>
      </c>
      <c r="L83" s="4" t="n">
        <v>1</v>
      </c>
    </row>
    <row r="84">
      <c r="A84" s="2" t="n">
        <v>46282</v>
      </c>
      <c r="B84" s="3" t="inlineStr">
        <is>
          <t>Potato</t>
        </is>
      </c>
      <c r="C84" s="3" t="n">
        <v>560</v>
      </c>
      <c r="D84" s="3" t="n">
        <v>98</v>
      </c>
      <c r="E84" s="3" t="n">
        <v>0</v>
      </c>
      <c r="F84" s="3">
        <f>C84+E84-D84-K84</f>
        <v/>
      </c>
      <c r="G84" s="3" t="n">
        <v>4</v>
      </c>
      <c r="H84" s="3" t="n">
        <v>78.3</v>
      </c>
      <c r="I84" s="3" t="n">
        <v>78</v>
      </c>
      <c r="J84" s="3" t="n">
        <v>391</v>
      </c>
      <c r="K84" s="3" t="n">
        <v>0</v>
      </c>
      <c r="L84" s="4" t="n">
        <v>1</v>
      </c>
    </row>
    <row r="85">
      <c r="A85" s="2" t="n">
        <v>46282</v>
      </c>
      <c r="B85" s="3" t="inlineStr">
        <is>
          <t>Cucumber</t>
        </is>
      </c>
      <c r="C85" s="3" t="n">
        <v>135</v>
      </c>
      <c r="D85" s="3" t="n">
        <v>34</v>
      </c>
      <c r="E85" s="3" t="n">
        <v>0</v>
      </c>
      <c r="F85" s="3">
        <f>C85+E85-D85-K85</f>
        <v/>
      </c>
      <c r="G85" s="3" t="n">
        <v>2</v>
      </c>
      <c r="H85" s="3" t="n">
        <v>38.3</v>
      </c>
      <c r="I85" s="3" t="n">
        <v>27</v>
      </c>
      <c r="J85" s="3" t="n">
        <v>104</v>
      </c>
      <c r="K85" s="3" t="n">
        <v>0</v>
      </c>
      <c r="L85" s="4" t="n">
        <v>1</v>
      </c>
    </row>
    <row r="86">
      <c r="A86" s="2" t="n">
        <v>46282</v>
      </c>
      <c r="B86" s="3" t="inlineStr">
        <is>
          <t>Capsicum</t>
        </is>
      </c>
      <c r="C86" s="3" t="n">
        <v>81</v>
      </c>
      <c r="D86" s="3" t="n">
        <v>24</v>
      </c>
      <c r="E86" s="3" t="n">
        <v>168</v>
      </c>
      <c r="F86" s="3">
        <f>C86+E86-D86-K86</f>
        <v/>
      </c>
      <c r="G86" s="3" t="n">
        <v>3</v>
      </c>
      <c r="H86" s="3" t="n">
        <v>33.6</v>
      </c>
      <c r="I86" s="3" t="n">
        <v>29</v>
      </c>
      <c r="J86" s="3" t="n">
        <v>130</v>
      </c>
      <c r="K86" s="3" t="n">
        <v>0</v>
      </c>
      <c r="L86" s="4" t="n">
        <v>1</v>
      </c>
    </row>
    <row r="87">
      <c r="A87" s="2" t="n">
        <v>46283</v>
      </c>
      <c r="B87" s="3" t="inlineStr">
        <is>
          <t>Tomato</t>
        </is>
      </c>
      <c r="C87" s="3" t="n">
        <v>396</v>
      </c>
      <c r="D87" s="3" t="n">
        <v>76</v>
      </c>
      <c r="E87" s="3" t="n">
        <v>0</v>
      </c>
      <c r="F87" s="3">
        <f>C87+E87-D87-K87</f>
        <v/>
      </c>
      <c r="G87" s="3" t="n">
        <v>3</v>
      </c>
      <c r="H87" s="3" t="n">
        <v>56.7</v>
      </c>
      <c r="I87" s="3" t="n">
        <v>49</v>
      </c>
      <c r="J87" s="3" t="n">
        <v>219</v>
      </c>
      <c r="K87" s="3" t="n">
        <v>0</v>
      </c>
      <c r="L87" s="4" t="n">
        <v>1</v>
      </c>
    </row>
    <row r="88">
      <c r="A88" s="2" t="n">
        <v>46283</v>
      </c>
      <c r="B88" s="3" t="inlineStr">
        <is>
          <t>Onion</t>
        </is>
      </c>
      <c r="C88" s="3" t="n">
        <v>372</v>
      </c>
      <c r="D88" s="3" t="n">
        <v>75</v>
      </c>
      <c r="E88" s="3" t="n">
        <v>0</v>
      </c>
      <c r="F88" s="3">
        <f>C88+E88-D88-K88</f>
        <v/>
      </c>
      <c r="G88" s="3" t="n">
        <v>4</v>
      </c>
      <c r="H88" s="3" t="n">
        <v>73</v>
      </c>
      <c r="I88" s="3" t="n">
        <v>73</v>
      </c>
      <c r="J88" s="3" t="n">
        <v>365</v>
      </c>
      <c r="K88" s="3" t="n">
        <v>0</v>
      </c>
      <c r="L88" s="4" t="n">
        <v>1</v>
      </c>
    </row>
    <row r="89">
      <c r="A89" s="2" t="n">
        <v>46283</v>
      </c>
      <c r="B89" s="3" t="inlineStr">
        <is>
          <t>Potato</t>
        </is>
      </c>
      <c r="C89" s="3" t="n">
        <v>462</v>
      </c>
      <c r="D89" s="3" t="n">
        <v>58</v>
      </c>
      <c r="E89" s="3" t="n">
        <v>0</v>
      </c>
      <c r="F89" s="3">
        <f>C89+E89-D89-K89</f>
        <v/>
      </c>
      <c r="G89" s="3" t="n">
        <v>4</v>
      </c>
      <c r="H89" s="3" t="n">
        <v>80.7</v>
      </c>
      <c r="I89" s="3" t="n">
        <v>81</v>
      </c>
      <c r="J89" s="3" t="n">
        <v>404</v>
      </c>
      <c r="K89" s="3" t="n">
        <v>0</v>
      </c>
      <c r="L89" s="4" t="n">
        <v>1</v>
      </c>
    </row>
    <row r="90">
      <c r="A90" s="2" t="n">
        <v>46283</v>
      </c>
      <c r="B90" s="3" t="inlineStr">
        <is>
          <t>Cucumber</t>
        </is>
      </c>
      <c r="C90" s="3" t="n">
        <v>101</v>
      </c>
      <c r="D90" s="3" t="n">
        <v>40</v>
      </c>
      <c r="E90" s="3" t="n">
        <v>155</v>
      </c>
      <c r="F90" s="3">
        <f>C90+E90-D90-K90</f>
        <v/>
      </c>
      <c r="G90" s="3" t="n">
        <v>2</v>
      </c>
      <c r="H90" s="3" t="n">
        <v>38.9</v>
      </c>
      <c r="I90" s="3" t="n">
        <v>27</v>
      </c>
      <c r="J90" s="3" t="n">
        <v>105</v>
      </c>
      <c r="K90" s="3" t="n">
        <v>0</v>
      </c>
      <c r="L90" s="4" t="n">
        <v>1</v>
      </c>
    </row>
    <row r="91">
      <c r="A91" s="2" t="n">
        <v>46283</v>
      </c>
      <c r="B91" s="3" t="inlineStr">
        <is>
          <t>Capsicum</t>
        </is>
      </c>
      <c r="C91" s="3" t="n">
        <v>225</v>
      </c>
      <c r="D91" s="3" t="n">
        <v>24</v>
      </c>
      <c r="E91" s="3" t="n">
        <v>0</v>
      </c>
      <c r="F91" s="3">
        <f>C91+E91-D91-K91</f>
        <v/>
      </c>
      <c r="G91" s="3" t="n">
        <v>3</v>
      </c>
      <c r="H91" s="3" t="n">
        <v>32.1</v>
      </c>
      <c r="I91" s="3" t="n">
        <v>28</v>
      </c>
      <c r="J91" s="3" t="n">
        <v>124</v>
      </c>
      <c r="K91" s="3" t="n">
        <v>0</v>
      </c>
      <c r="L91" s="4" t="n">
        <v>1</v>
      </c>
    </row>
    <row r="92">
      <c r="A92" s="2" t="n">
        <v>46284</v>
      </c>
      <c r="B92" s="3" t="inlineStr">
        <is>
          <t>Tomato</t>
        </is>
      </c>
      <c r="C92" s="3" t="n">
        <v>320</v>
      </c>
      <c r="D92" s="3" t="n">
        <v>47</v>
      </c>
      <c r="E92" s="3" t="n">
        <v>0</v>
      </c>
      <c r="F92" s="3">
        <f>C92+E92-D92-K92</f>
        <v/>
      </c>
      <c r="G92" s="3" t="n">
        <v>3</v>
      </c>
      <c r="H92" s="3" t="n">
        <v>58.7</v>
      </c>
      <c r="I92" s="3" t="n">
        <v>51</v>
      </c>
      <c r="J92" s="3" t="n">
        <v>227</v>
      </c>
      <c r="K92" s="3" t="n">
        <v>0</v>
      </c>
      <c r="L92" s="4" t="n">
        <v>1</v>
      </c>
    </row>
    <row r="93">
      <c r="A93" s="2" t="n">
        <v>46284</v>
      </c>
      <c r="B93" s="3" t="inlineStr">
        <is>
          <t>Onion</t>
        </is>
      </c>
      <c r="C93" s="3" t="n">
        <v>297</v>
      </c>
      <c r="D93" s="3" t="n">
        <v>84</v>
      </c>
      <c r="E93" s="3" t="n">
        <v>438</v>
      </c>
      <c r="F93" s="3">
        <f>C93+E93-D93-K93</f>
        <v/>
      </c>
      <c r="G93" s="3" t="n">
        <v>4</v>
      </c>
      <c r="H93" s="3" t="n">
        <v>73</v>
      </c>
      <c r="I93" s="3" t="n">
        <v>73</v>
      </c>
      <c r="J93" s="3" t="n">
        <v>365</v>
      </c>
      <c r="K93" s="3" t="n">
        <v>0</v>
      </c>
      <c r="L93" s="4" t="n">
        <v>1</v>
      </c>
    </row>
    <row r="94">
      <c r="A94" s="2" t="n">
        <v>46284</v>
      </c>
      <c r="B94" s="3" t="inlineStr">
        <is>
          <t>Potato</t>
        </is>
      </c>
      <c r="C94" s="3" t="n">
        <v>404</v>
      </c>
      <c r="D94" s="3" t="n">
        <v>89</v>
      </c>
      <c r="E94" s="3" t="n">
        <v>0</v>
      </c>
      <c r="F94" s="3">
        <f>C94+E94-D94-K94</f>
        <v/>
      </c>
      <c r="G94" s="3" t="n">
        <v>4</v>
      </c>
      <c r="H94" s="3" t="n">
        <v>78.40000000000001</v>
      </c>
      <c r="I94" s="3" t="n">
        <v>78</v>
      </c>
      <c r="J94" s="3" t="n">
        <v>392</v>
      </c>
      <c r="K94" s="3" t="n">
        <v>0</v>
      </c>
      <c r="L94" s="4" t="n">
        <v>1</v>
      </c>
    </row>
    <row r="95">
      <c r="A95" s="2" t="n">
        <v>46284</v>
      </c>
      <c r="B95" s="3" t="inlineStr">
        <is>
          <t>Cucumber</t>
        </is>
      </c>
      <c r="C95" s="3" t="n">
        <v>216</v>
      </c>
      <c r="D95" s="3" t="n">
        <v>37</v>
      </c>
      <c r="E95" s="3" t="n">
        <v>0</v>
      </c>
      <c r="F95" s="3">
        <f>C95+E95-D95-K95</f>
        <v/>
      </c>
      <c r="G95" s="3" t="n">
        <v>2</v>
      </c>
      <c r="H95" s="3" t="n">
        <v>38</v>
      </c>
      <c r="I95" s="3" t="n">
        <v>27</v>
      </c>
      <c r="J95" s="3" t="n">
        <v>103</v>
      </c>
      <c r="K95" s="3" t="n">
        <v>0</v>
      </c>
      <c r="L95" s="4" t="n">
        <v>1</v>
      </c>
    </row>
    <row r="96">
      <c r="A96" s="2" t="n">
        <v>46284</v>
      </c>
      <c r="B96" s="3" t="inlineStr">
        <is>
          <t>Capsicum</t>
        </is>
      </c>
      <c r="C96" s="3" t="n">
        <v>201</v>
      </c>
      <c r="D96" s="3" t="n">
        <v>31</v>
      </c>
      <c r="E96" s="3" t="n">
        <v>0</v>
      </c>
      <c r="F96" s="3">
        <f>C96+E96-D96-K96</f>
        <v/>
      </c>
      <c r="G96" s="3" t="n">
        <v>3</v>
      </c>
      <c r="H96" s="3" t="n">
        <v>30.4</v>
      </c>
      <c r="I96" s="3" t="n">
        <v>26</v>
      </c>
      <c r="J96" s="3" t="n">
        <v>117</v>
      </c>
      <c r="K96" s="3" t="n">
        <v>0</v>
      </c>
      <c r="L96" s="4" t="n">
        <v>1</v>
      </c>
    </row>
    <row r="97">
      <c r="A97" s="2" t="n">
        <v>46285</v>
      </c>
      <c r="B97" s="3" t="inlineStr">
        <is>
          <t>Tomato</t>
        </is>
      </c>
      <c r="C97" s="3" t="n">
        <v>273</v>
      </c>
      <c r="D97" s="3" t="n">
        <v>61</v>
      </c>
      <c r="E97" s="3" t="n">
        <v>0</v>
      </c>
      <c r="F97" s="3">
        <f>C97+E97-D97-K97</f>
        <v/>
      </c>
      <c r="G97" s="3" t="n">
        <v>3</v>
      </c>
      <c r="H97" s="3" t="n">
        <v>56.7</v>
      </c>
      <c r="I97" s="3" t="n">
        <v>49</v>
      </c>
      <c r="J97" s="3" t="n">
        <v>219</v>
      </c>
      <c r="K97" s="3" t="n">
        <v>0</v>
      </c>
      <c r="L97" s="4" t="n">
        <v>1</v>
      </c>
    </row>
    <row r="98">
      <c r="A98" s="2" t="n">
        <v>46285</v>
      </c>
      <c r="B98" s="3" t="inlineStr">
        <is>
          <t>Onion</t>
        </is>
      </c>
      <c r="C98" s="3" t="n">
        <v>651</v>
      </c>
      <c r="D98" s="3" t="n">
        <v>72</v>
      </c>
      <c r="E98" s="3" t="n">
        <v>0</v>
      </c>
      <c r="F98" s="3">
        <f>C98+E98-D98-K98</f>
        <v/>
      </c>
      <c r="G98" s="3" t="n">
        <v>4</v>
      </c>
      <c r="H98" s="3" t="n">
        <v>77</v>
      </c>
      <c r="I98" s="3" t="n">
        <v>77</v>
      </c>
      <c r="J98" s="3" t="n">
        <v>385</v>
      </c>
      <c r="K98" s="3" t="n">
        <v>0</v>
      </c>
      <c r="L98" s="4" t="n">
        <v>1</v>
      </c>
    </row>
    <row r="99">
      <c r="A99" s="2" t="n">
        <v>46285</v>
      </c>
      <c r="B99" s="3" t="inlineStr">
        <is>
          <t>Potato</t>
        </is>
      </c>
      <c r="C99" s="3" t="n">
        <v>315</v>
      </c>
      <c r="D99" s="3" t="n">
        <v>62</v>
      </c>
      <c r="E99" s="3" t="n">
        <v>491</v>
      </c>
      <c r="F99" s="3">
        <f>C99+E99-D99-K99</f>
        <v/>
      </c>
      <c r="G99" s="3" t="n">
        <v>4</v>
      </c>
      <c r="H99" s="3" t="n">
        <v>81.90000000000001</v>
      </c>
      <c r="I99" s="3" t="n">
        <v>82</v>
      </c>
      <c r="J99" s="3" t="n">
        <v>409</v>
      </c>
      <c r="K99" s="3" t="n">
        <v>0</v>
      </c>
      <c r="L99" s="4" t="n">
        <v>1</v>
      </c>
    </row>
    <row r="100">
      <c r="A100" s="2" t="n">
        <v>46285</v>
      </c>
      <c r="B100" s="3" t="inlineStr">
        <is>
          <t>Cucumber</t>
        </is>
      </c>
      <c r="C100" s="3" t="n">
        <v>179</v>
      </c>
      <c r="D100" s="3" t="n">
        <v>45</v>
      </c>
      <c r="E100" s="3" t="n">
        <v>0</v>
      </c>
      <c r="F100" s="3">
        <f>C100+E100-D100-K100</f>
        <v/>
      </c>
      <c r="G100" s="3" t="n">
        <v>2</v>
      </c>
      <c r="H100" s="3" t="n">
        <v>38.9</v>
      </c>
      <c r="I100" s="3" t="n">
        <v>27</v>
      </c>
      <c r="J100" s="3" t="n">
        <v>105</v>
      </c>
      <c r="K100" s="3" t="n">
        <v>0</v>
      </c>
      <c r="L100" s="4" t="n">
        <v>1</v>
      </c>
    </row>
    <row r="101">
      <c r="A101" s="2" t="n">
        <v>46285</v>
      </c>
      <c r="B101" s="3" t="inlineStr">
        <is>
          <t>Capsicum</t>
        </is>
      </c>
      <c r="C101" s="3" t="n">
        <v>170</v>
      </c>
      <c r="D101" s="3" t="n">
        <v>35</v>
      </c>
      <c r="E101" s="3" t="n">
        <v>0</v>
      </c>
      <c r="F101" s="3">
        <f>C101+E101-D101-K101</f>
        <v/>
      </c>
      <c r="G101" s="3" t="n">
        <v>3</v>
      </c>
      <c r="H101" s="3" t="n">
        <v>31.6</v>
      </c>
      <c r="I101" s="3" t="n">
        <v>27</v>
      </c>
      <c r="J101" s="3" t="n">
        <v>122</v>
      </c>
      <c r="K101" s="3" t="n">
        <v>0</v>
      </c>
      <c r="L101" s="4" t="n">
        <v>1</v>
      </c>
    </row>
    <row r="102">
      <c r="A102" s="2" t="n">
        <v>46286</v>
      </c>
      <c r="B102" s="3" t="inlineStr">
        <is>
          <t>Tomato</t>
        </is>
      </c>
      <c r="C102" s="3" t="n">
        <v>212</v>
      </c>
      <c r="D102" s="3" t="n">
        <v>56</v>
      </c>
      <c r="E102" s="3" t="n">
        <v>281</v>
      </c>
      <c r="F102" s="3">
        <f>C102+E102-D102-K102</f>
        <v/>
      </c>
      <c r="G102" s="3" t="n">
        <v>3</v>
      </c>
      <c r="H102" s="3" t="n">
        <v>56.3</v>
      </c>
      <c r="I102" s="3" t="n">
        <v>49</v>
      </c>
      <c r="J102" s="3" t="n">
        <v>218</v>
      </c>
      <c r="K102" s="3" t="n">
        <v>87</v>
      </c>
      <c r="L102" s="4" t="n">
        <v>1</v>
      </c>
    </row>
    <row r="103">
      <c r="A103" s="2" t="n">
        <v>46286</v>
      </c>
      <c r="B103" s="3" t="inlineStr">
        <is>
          <t>Onion</t>
        </is>
      </c>
      <c r="C103" s="3" t="n">
        <v>579</v>
      </c>
      <c r="D103" s="3" t="n">
        <v>69</v>
      </c>
      <c r="E103" s="3" t="n">
        <v>0</v>
      </c>
      <c r="F103" s="3">
        <f>C103+E103-D103-K103</f>
        <v/>
      </c>
      <c r="G103" s="3" t="n">
        <v>4</v>
      </c>
      <c r="H103" s="3" t="n">
        <v>76.59999999999999</v>
      </c>
      <c r="I103" s="3" t="n">
        <v>77</v>
      </c>
      <c r="J103" s="3" t="n">
        <v>383</v>
      </c>
      <c r="K103" s="3" t="n">
        <v>76</v>
      </c>
      <c r="L103" s="4" t="n">
        <v>1</v>
      </c>
    </row>
    <row r="104">
      <c r="A104" s="2" t="n">
        <v>46286</v>
      </c>
      <c r="B104" s="3" t="inlineStr">
        <is>
          <t>Potato</t>
        </is>
      </c>
      <c r="C104" s="3" t="n">
        <v>744</v>
      </c>
      <c r="D104" s="3" t="n">
        <v>87</v>
      </c>
      <c r="E104" s="3" t="n">
        <v>0</v>
      </c>
      <c r="F104" s="3">
        <f>C104+E104-D104-K104</f>
        <v/>
      </c>
      <c r="G104" s="3" t="n">
        <v>4</v>
      </c>
      <c r="H104" s="3" t="n">
        <v>81.09999999999999</v>
      </c>
      <c r="I104" s="3" t="n">
        <v>81</v>
      </c>
      <c r="J104" s="3" t="n">
        <v>406</v>
      </c>
      <c r="K104" s="3" t="n">
        <v>79</v>
      </c>
      <c r="L104" s="4" t="n">
        <v>1</v>
      </c>
    </row>
    <row r="105">
      <c r="A105" s="2" t="n">
        <v>46286</v>
      </c>
      <c r="B105" s="3" t="inlineStr">
        <is>
          <t>Cucumber</t>
        </is>
      </c>
      <c r="C105" s="3" t="n">
        <v>134</v>
      </c>
      <c r="D105" s="3" t="n">
        <v>38</v>
      </c>
      <c r="E105" s="3" t="n">
        <v>0</v>
      </c>
      <c r="F105" s="3">
        <f>C105+E105-D105-K105</f>
        <v/>
      </c>
      <c r="G105" s="3" t="n">
        <v>2</v>
      </c>
      <c r="H105" s="3" t="n">
        <v>38.4</v>
      </c>
      <c r="I105" s="3" t="n">
        <v>27</v>
      </c>
      <c r="J105" s="3" t="n">
        <v>104</v>
      </c>
      <c r="K105" s="3" t="n">
        <v>24</v>
      </c>
      <c r="L105" s="4" t="n">
        <v>1</v>
      </c>
    </row>
    <row r="106">
      <c r="A106" s="2" t="n">
        <v>46286</v>
      </c>
      <c r="B106" s="3" t="inlineStr">
        <is>
          <t>Capsicum</t>
        </is>
      </c>
      <c r="C106" s="3" t="n">
        <v>135</v>
      </c>
      <c r="D106" s="3" t="n">
        <v>29</v>
      </c>
      <c r="E106" s="3" t="n">
        <v>0</v>
      </c>
      <c r="F106" s="3">
        <f>C106+E106-D106-K106</f>
        <v/>
      </c>
      <c r="G106" s="3" t="n">
        <v>3</v>
      </c>
      <c r="H106" s="3" t="n">
        <v>31.9</v>
      </c>
      <c r="I106" s="3" t="n">
        <v>28</v>
      </c>
      <c r="J106" s="3" t="n">
        <v>124</v>
      </c>
      <c r="K106" s="3" t="n">
        <v>21</v>
      </c>
      <c r="L106" s="4" t="n">
        <v>1</v>
      </c>
    </row>
    <row r="107">
      <c r="A107" s="2" t="n">
        <v>46287</v>
      </c>
      <c r="B107" s="3" t="inlineStr">
        <is>
          <t>Tomato</t>
        </is>
      </c>
      <c r="C107" s="3" t="n">
        <v>350</v>
      </c>
      <c r="D107" s="3" t="n">
        <v>72</v>
      </c>
      <c r="E107" s="3" t="n">
        <v>0</v>
      </c>
      <c r="F107" s="3">
        <f>C107+E107-D107-K107</f>
        <v/>
      </c>
      <c r="G107" s="3" t="n">
        <v>3</v>
      </c>
      <c r="H107" s="3" t="n">
        <v>54.4</v>
      </c>
      <c r="I107" s="3" t="n">
        <v>47</v>
      </c>
      <c r="J107" s="3" t="n">
        <v>210</v>
      </c>
      <c r="K107" s="3" t="n">
        <v>0</v>
      </c>
      <c r="L107" s="4" t="n">
        <v>1</v>
      </c>
    </row>
    <row r="108">
      <c r="A108" s="2" t="n">
        <v>46287</v>
      </c>
      <c r="B108" s="3" t="inlineStr">
        <is>
          <t>Onion</t>
        </is>
      </c>
      <c r="C108" s="3" t="n">
        <v>434</v>
      </c>
      <c r="D108" s="3" t="n">
        <v>91</v>
      </c>
      <c r="E108" s="3" t="n">
        <v>0</v>
      </c>
      <c r="F108" s="3">
        <f>C108+E108-D108-K108</f>
        <v/>
      </c>
      <c r="G108" s="3" t="n">
        <v>4</v>
      </c>
      <c r="H108" s="3" t="n">
        <v>74</v>
      </c>
      <c r="I108" s="3" t="n">
        <v>74</v>
      </c>
      <c r="J108" s="3" t="n">
        <v>370</v>
      </c>
      <c r="K108" s="3" t="n">
        <v>0</v>
      </c>
      <c r="L108" s="4" t="n">
        <v>1</v>
      </c>
    </row>
    <row r="109">
      <c r="A109" s="2" t="n">
        <v>46287</v>
      </c>
      <c r="B109" s="3" t="inlineStr">
        <is>
          <t>Potato</t>
        </is>
      </c>
      <c r="C109" s="3" t="n">
        <v>578</v>
      </c>
      <c r="D109" s="3" t="n">
        <v>65</v>
      </c>
      <c r="E109" s="3" t="n">
        <v>0</v>
      </c>
      <c r="F109" s="3">
        <f>C109+E109-D109-K109</f>
        <v/>
      </c>
      <c r="G109" s="3" t="n">
        <v>4</v>
      </c>
      <c r="H109" s="3" t="n">
        <v>80.7</v>
      </c>
      <c r="I109" s="3" t="n">
        <v>81</v>
      </c>
      <c r="J109" s="3" t="n">
        <v>404</v>
      </c>
      <c r="K109" s="3" t="n">
        <v>0</v>
      </c>
      <c r="L109" s="4" t="n">
        <v>1</v>
      </c>
    </row>
    <row r="110">
      <c r="A110" s="2" t="n">
        <v>46287</v>
      </c>
      <c r="B110" s="3" t="inlineStr">
        <is>
          <t>Cucumber</t>
        </is>
      </c>
      <c r="C110" s="3" t="n">
        <v>72</v>
      </c>
      <c r="D110" s="3" t="n">
        <v>31</v>
      </c>
      <c r="E110" s="3" t="n">
        <v>153</v>
      </c>
      <c r="F110" s="3">
        <f>C110+E110-D110-K110</f>
        <v/>
      </c>
      <c r="G110" s="3" t="n">
        <v>2</v>
      </c>
      <c r="H110" s="3" t="n">
        <v>38.3</v>
      </c>
      <c r="I110" s="3" t="n">
        <v>27</v>
      </c>
      <c r="J110" s="3" t="n">
        <v>104</v>
      </c>
      <c r="K110" s="3" t="n">
        <v>0</v>
      </c>
      <c r="L110" s="4" t="n">
        <v>1</v>
      </c>
    </row>
    <row r="111">
      <c r="A111" s="2" t="n">
        <v>46287</v>
      </c>
      <c r="B111" s="3" t="inlineStr">
        <is>
          <t>Capsicum</t>
        </is>
      </c>
      <c r="C111" s="3" t="n">
        <v>85</v>
      </c>
      <c r="D111" s="3" t="n">
        <v>36</v>
      </c>
      <c r="E111" s="3" t="n">
        <v>152</v>
      </c>
      <c r="F111" s="3">
        <f>C111+E111-D111-K111</f>
        <v/>
      </c>
      <c r="G111" s="3" t="n">
        <v>3</v>
      </c>
      <c r="H111" s="3" t="n">
        <v>30.4</v>
      </c>
      <c r="I111" s="3" t="n">
        <v>26</v>
      </c>
      <c r="J111" s="3" t="n">
        <v>117</v>
      </c>
      <c r="K111" s="3" t="n">
        <v>0</v>
      </c>
      <c r="L111" s="4" t="n">
        <v>1</v>
      </c>
    </row>
    <row r="112">
      <c r="A112" s="2" t="n">
        <v>46288</v>
      </c>
      <c r="B112" s="3" t="inlineStr">
        <is>
          <t>Tomato</t>
        </is>
      </c>
      <c r="C112" s="3" t="n">
        <v>278</v>
      </c>
      <c r="D112" s="3" t="n">
        <v>75</v>
      </c>
      <c r="E112" s="3" t="n">
        <v>0</v>
      </c>
      <c r="F112" s="3">
        <f>C112+E112-D112-K112</f>
        <v/>
      </c>
      <c r="G112" s="3" t="n">
        <v>3</v>
      </c>
      <c r="H112" s="3" t="n">
        <v>58.1</v>
      </c>
      <c r="I112" s="3" t="n">
        <v>50</v>
      </c>
      <c r="J112" s="3" t="n">
        <v>224</v>
      </c>
      <c r="K112" s="3" t="n">
        <v>0</v>
      </c>
      <c r="L112" s="4" t="n">
        <v>1</v>
      </c>
    </row>
    <row r="113">
      <c r="A113" s="2" t="n">
        <v>46288</v>
      </c>
      <c r="B113" s="3" t="inlineStr">
        <is>
          <t>Onion</t>
        </is>
      </c>
      <c r="C113" s="3" t="n">
        <v>343</v>
      </c>
      <c r="D113" s="3" t="n">
        <v>83</v>
      </c>
      <c r="E113" s="3" t="n">
        <v>452</v>
      </c>
      <c r="F113" s="3">
        <f>C113+E113-D113-K113</f>
        <v/>
      </c>
      <c r="G113" s="3" t="n">
        <v>4</v>
      </c>
      <c r="H113" s="3" t="n">
        <v>75.3</v>
      </c>
      <c r="I113" s="3" t="n">
        <v>75</v>
      </c>
      <c r="J113" s="3" t="n">
        <v>376</v>
      </c>
      <c r="K113" s="3" t="n">
        <v>0</v>
      </c>
      <c r="L113" s="4" t="n">
        <v>1</v>
      </c>
    </row>
    <row r="114">
      <c r="A114" s="2" t="n">
        <v>46288</v>
      </c>
      <c r="B114" s="3" t="inlineStr">
        <is>
          <t>Potato</t>
        </is>
      </c>
      <c r="C114" s="3" t="n">
        <v>513</v>
      </c>
      <c r="D114" s="3" t="n">
        <v>72</v>
      </c>
      <c r="E114" s="3" t="n">
        <v>0</v>
      </c>
      <c r="F114" s="3">
        <f>C114+E114-D114-K114</f>
        <v/>
      </c>
      <c r="G114" s="3" t="n">
        <v>4</v>
      </c>
      <c r="H114" s="3" t="n">
        <v>75.7</v>
      </c>
      <c r="I114" s="3" t="n">
        <v>76</v>
      </c>
      <c r="J114" s="3" t="n">
        <v>379</v>
      </c>
      <c r="K114" s="3" t="n">
        <v>0</v>
      </c>
      <c r="L114" s="4" t="n">
        <v>1</v>
      </c>
    </row>
    <row r="115">
      <c r="A115" s="2" t="n">
        <v>46288</v>
      </c>
      <c r="B115" s="3" t="inlineStr">
        <is>
          <t>Cucumber</t>
        </is>
      </c>
      <c r="C115" s="3" t="n">
        <v>194</v>
      </c>
      <c r="D115" s="3" t="n">
        <v>29</v>
      </c>
      <c r="E115" s="3" t="n">
        <v>0</v>
      </c>
      <c r="F115" s="3">
        <f>C115+E115-D115-K115</f>
        <v/>
      </c>
      <c r="G115" s="3" t="n">
        <v>2</v>
      </c>
      <c r="H115" s="3" t="n">
        <v>37.3</v>
      </c>
      <c r="I115" s="3" t="n">
        <v>26</v>
      </c>
      <c r="J115" s="3" t="n">
        <v>101</v>
      </c>
      <c r="K115" s="3" t="n">
        <v>0</v>
      </c>
      <c r="L115" s="4" t="n">
        <v>1</v>
      </c>
    </row>
    <row r="116">
      <c r="A116" s="2" t="n">
        <v>46288</v>
      </c>
      <c r="B116" s="3" t="inlineStr">
        <is>
          <t>Capsicum</t>
        </is>
      </c>
      <c r="C116" s="3" t="n">
        <v>201</v>
      </c>
      <c r="D116" s="3" t="n">
        <v>36</v>
      </c>
      <c r="E116" s="3" t="n">
        <v>0</v>
      </c>
      <c r="F116" s="3">
        <f>C116+E116-D116-K116</f>
        <v/>
      </c>
      <c r="G116" s="3" t="n">
        <v>3</v>
      </c>
      <c r="H116" s="3" t="n">
        <v>30.4</v>
      </c>
      <c r="I116" s="3" t="n">
        <v>26</v>
      </c>
      <c r="J116" s="3" t="n">
        <v>117</v>
      </c>
      <c r="K116" s="3" t="n">
        <v>0</v>
      </c>
      <c r="L116" s="4" t="n">
        <v>1</v>
      </c>
    </row>
    <row r="117">
      <c r="A117" s="2" t="n">
        <v>46289</v>
      </c>
      <c r="B117" s="3" t="inlineStr">
        <is>
          <t>Tomato</t>
        </is>
      </c>
      <c r="C117" s="3" t="n">
        <v>203</v>
      </c>
      <c r="D117" s="3" t="n">
        <v>74</v>
      </c>
      <c r="E117" s="3" t="n">
        <v>310</v>
      </c>
      <c r="F117" s="3">
        <f>C117+E117-D117-K117</f>
        <v/>
      </c>
      <c r="G117" s="3" t="n">
        <v>3</v>
      </c>
      <c r="H117" s="3" t="n">
        <v>62</v>
      </c>
      <c r="I117" s="3" t="n">
        <v>54</v>
      </c>
      <c r="J117" s="3" t="n">
        <v>240</v>
      </c>
      <c r="K117" s="3" t="n">
        <v>0</v>
      </c>
      <c r="L117" s="4" t="n">
        <v>1</v>
      </c>
    </row>
    <row r="118">
      <c r="A118" s="2" t="n">
        <v>46289</v>
      </c>
      <c r="B118" s="3" t="inlineStr">
        <is>
          <t>Onion</t>
        </is>
      </c>
      <c r="C118" s="3" t="n">
        <v>712</v>
      </c>
      <c r="D118" s="3" t="n">
        <v>85</v>
      </c>
      <c r="E118" s="3" t="n">
        <v>0</v>
      </c>
      <c r="F118" s="3">
        <f>C118+E118-D118-K118</f>
        <v/>
      </c>
      <c r="G118" s="3" t="n">
        <v>4</v>
      </c>
      <c r="H118" s="3" t="n">
        <v>77.09999999999999</v>
      </c>
      <c r="I118" s="3" t="n">
        <v>77</v>
      </c>
      <c r="J118" s="3" t="n">
        <v>386</v>
      </c>
      <c r="K118" s="3" t="n">
        <v>0</v>
      </c>
      <c r="L118" s="4" t="n">
        <v>1</v>
      </c>
    </row>
    <row r="119">
      <c r="A119" s="2" t="n">
        <v>46289</v>
      </c>
      <c r="B119" s="3" t="inlineStr">
        <is>
          <t>Potato</t>
        </is>
      </c>
      <c r="C119" s="3" t="n">
        <v>441</v>
      </c>
      <c r="D119" s="3" t="n">
        <v>93</v>
      </c>
      <c r="E119" s="3" t="n">
        <v>0</v>
      </c>
      <c r="F119" s="3">
        <f>C119+E119-D119-K119</f>
        <v/>
      </c>
      <c r="G119" s="3" t="n">
        <v>4</v>
      </c>
      <c r="H119" s="3" t="n">
        <v>75.90000000000001</v>
      </c>
      <c r="I119" s="3" t="n">
        <v>76</v>
      </c>
      <c r="J119" s="3" t="n">
        <v>379</v>
      </c>
      <c r="K119" s="3" t="n">
        <v>0</v>
      </c>
      <c r="L119" s="4" t="n">
        <v>1</v>
      </c>
    </row>
    <row r="120">
      <c r="A120" s="2" t="n">
        <v>46289</v>
      </c>
      <c r="B120" s="3" t="inlineStr">
        <is>
          <t>Cucumber</t>
        </is>
      </c>
      <c r="C120" s="3" t="n">
        <v>165</v>
      </c>
      <c r="D120" s="3" t="n">
        <v>50</v>
      </c>
      <c r="E120" s="3" t="n">
        <v>0</v>
      </c>
      <c r="F120" s="3">
        <f>C120+E120-D120-K120</f>
        <v/>
      </c>
      <c r="G120" s="3" t="n">
        <v>2</v>
      </c>
      <c r="H120" s="3" t="n">
        <v>36.3</v>
      </c>
      <c r="I120" s="3" t="n">
        <v>26</v>
      </c>
      <c r="J120" s="3" t="n">
        <v>99</v>
      </c>
      <c r="K120" s="3" t="n">
        <v>0</v>
      </c>
      <c r="L120" s="4" t="n">
        <v>1</v>
      </c>
    </row>
    <row r="121">
      <c r="A121" s="2" t="n">
        <v>46289</v>
      </c>
      <c r="B121" s="3" t="inlineStr">
        <is>
          <t>Capsicum</t>
        </is>
      </c>
      <c r="C121" s="3" t="n">
        <v>165</v>
      </c>
      <c r="D121" s="3" t="n">
        <v>31</v>
      </c>
      <c r="E121" s="3" t="n">
        <v>0</v>
      </c>
      <c r="F121" s="3">
        <f>C121+E121-D121-K121</f>
        <v/>
      </c>
      <c r="G121" s="3" t="n">
        <v>3</v>
      </c>
      <c r="H121" s="3" t="n">
        <v>30.7</v>
      </c>
      <c r="I121" s="3" t="n">
        <v>27</v>
      </c>
      <c r="J121" s="3" t="n">
        <v>119</v>
      </c>
      <c r="K121" s="3" t="n">
        <v>0</v>
      </c>
      <c r="L121" s="4" t="n">
        <v>1</v>
      </c>
    </row>
    <row r="122">
      <c r="A122" s="2" t="n">
        <v>46290</v>
      </c>
      <c r="B122" s="3" t="inlineStr">
        <is>
          <t>Tomato</t>
        </is>
      </c>
      <c r="C122" s="3" t="n">
        <v>439</v>
      </c>
      <c r="D122" s="3" t="n">
        <v>74</v>
      </c>
      <c r="E122" s="3" t="n">
        <v>0</v>
      </c>
      <c r="F122" s="3">
        <f>C122+E122-D122-K122</f>
        <v/>
      </c>
      <c r="G122" s="3" t="n">
        <v>3</v>
      </c>
      <c r="H122" s="3" t="n">
        <v>65.90000000000001</v>
      </c>
      <c r="I122" s="3" t="n">
        <v>57</v>
      </c>
      <c r="J122" s="3" t="n">
        <v>255</v>
      </c>
      <c r="K122" s="3" t="n">
        <v>0</v>
      </c>
      <c r="L122" s="4" t="n">
        <v>1</v>
      </c>
    </row>
    <row r="123">
      <c r="A123" s="2" t="n">
        <v>46290</v>
      </c>
      <c r="B123" s="3" t="inlineStr">
        <is>
          <t>Onion</t>
        </is>
      </c>
      <c r="C123" s="3" t="n">
        <v>627</v>
      </c>
      <c r="D123" s="3" t="n">
        <v>63</v>
      </c>
      <c r="E123" s="3" t="n">
        <v>0</v>
      </c>
      <c r="F123" s="3">
        <f>C123+E123-D123-K123</f>
        <v/>
      </c>
      <c r="G123" s="3" t="n">
        <v>4</v>
      </c>
      <c r="H123" s="3" t="n">
        <v>79.90000000000001</v>
      </c>
      <c r="I123" s="3" t="n">
        <v>80</v>
      </c>
      <c r="J123" s="3" t="n">
        <v>399</v>
      </c>
      <c r="K123" s="3" t="n">
        <v>0</v>
      </c>
      <c r="L123" s="4" t="n">
        <v>1</v>
      </c>
    </row>
    <row r="124">
      <c r="A124" s="2" t="n">
        <v>46290</v>
      </c>
      <c r="B124" s="3" t="inlineStr">
        <is>
          <t>Potato</t>
        </is>
      </c>
      <c r="C124" s="3" t="n">
        <v>348</v>
      </c>
      <c r="D124" s="3" t="n">
        <v>61</v>
      </c>
      <c r="E124" s="3" t="n">
        <v>451</v>
      </c>
      <c r="F124" s="3">
        <f>C124+E124-D124-K124</f>
        <v/>
      </c>
      <c r="G124" s="3" t="n">
        <v>4</v>
      </c>
      <c r="H124" s="3" t="n">
        <v>75.09999999999999</v>
      </c>
      <c r="I124" s="3" t="n">
        <v>75</v>
      </c>
      <c r="J124" s="3" t="n">
        <v>376</v>
      </c>
      <c r="K124" s="3" t="n">
        <v>0</v>
      </c>
      <c r="L124" s="4" t="n">
        <v>1</v>
      </c>
    </row>
    <row r="125">
      <c r="A125" s="2" t="n">
        <v>46290</v>
      </c>
      <c r="B125" s="3" t="inlineStr">
        <is>
          <t>Cucumber</t>
        </is>
      </c>
      <c r="C125" s="3" t="n">
        <v>115</v>
      </c>
      <c r="D125" s="3" t="n">
        <v>46</v>
      </c>
      <c r="E125" s="3" t="n">
        <v>0</v>
      </c>
      <c r="F125" s="3">
        <f>C125+E125-D125-K125</f>
        <v/>
      </c>
      <c r="G125" s="3" t="n">
        <v>2</v>
      </c>
      <c r="H125" s="3" t="n">
        <v>38.6</v>
      </c>
      <c r="I125" s="3" t="n">
        <v>27</v>
      </c>
      <c r="J125" s="3" t="n">
        <v>104</v>
      </c>
      <c r="K125" s="3" t="n">
        <v>0</v>
      </c>
      <c r="L125" s="4" t="n">
        <v>1</v>
      </c>
    </row>
    <row r="126">
      <c r="A126" s="2" t="n">
        <v>46290</v>
      </c>
      <c r="B126" s="3" t="inlineStr">
        <is>
          <t>Capsicum</t>
        </is>
      </c>
      <c r="C126" s="3" t="n">
        <v>134</v>
      </c>
      <c r="D126" s="3" t="n">
        <v>34</v>
      </c>
      <c r="E126" s="3" t="n">
        <v>0</v>
      </c>
      <c r="F126" s="3">
        <f>C126+E126-D126-K126</f>
        <v/>
      </c>
      <c r="G126" s="3" t="n">
        <v>3</v>
      </c>
      <c r="H126" s="3" t="n">
        <v>31.7</v>
      </c>
      <c r="I126" s="3" t="n">
        <v>27</v>
      </c>
      <c r="J126" s="3" t="n">
        <v>122</v>
      </c>
      <c r="K126" s="3" t="n">
        <v>0</v>
      </c>
      <c r="L126" s="4" t="n">
        <v>1</v>
      </c>
    </row>
    <row r="127">
      <c r="A127" s="2" t="n">
        <v>46291</v>
      </c>
      <c r="B127" s="3" t="inlineStr">
        <is>
          <t>Tomato</t>
        </is>
      </c>
      <c r="C127" s="3" t="n">
        <v>365</v>
      </c>
      <c r="D127" s="3" t="n">
        <v>69</v>
      </c>
      <c r="E127" s="3" t="n">
        <v>0</v>
      </c>
      <c r="F127" s="3">
        <f>C127+E127-D127-K127</f>
        <v/>
      </c>
      <c r="G127" s="3" t="n">
        <v>3</v>
      </c>
      <c r="H127" s="3" t="n">
        <v>65.59999999999999</v>
      </c>
      <c r="I127" s="3" t="n">
        <v>57</v>
      </c>
      <c r="J127" s="3" t="n">
        <v>254</v>
      </c>
      <c r="K127" s="3" t="n">
        <v>59</v>
      </c>
      <c r="L127" s="4" t="n">
        <v>1</v>
      </c>
    </row>
    <row r="128">
      <c r="A128" s="2" t="n">
        <v>46291</v>
      </c>
      <c r="B128" s="3" t="inlineStr">
        <is>
          <t>Onion</t>
        </is>
      </c>
      <c r="C128" s="3" t="n">
        <v>564</v>
      </c>
      <c r="D128" s="3" t="n">
        <v>57</v>
      </c>
      <c r="E128" s="3" t="n">
        <v>0</v>
      </c>
      <c r="F128" s="3">
        <f>C128+E128-D128-K128</f>
        <v/>
      </c>
      <c r="G128" s="3" t="n">
        <v>4</v>
      </c>
      <c r="H128" s="3" t="n">
        <v>78.09999999999999</v>
      </c>
      <c r="I128" s="3" t="n">
        <v>78</v>
      </c>
      <c r="J128" s="3" t="n">
        <v>391</v>
      </c>
      <c r="K128" s="3" t="n">
        <v>76</v>
      </c>
      <c r="L128" s="4" t="n">
        <v>1</v>
      </c>
    </row>
    <row r="129">
      <c r="A129" s="2" t="n">
        <v>46291</v>
      </c>
      <c r="B129" s="3" t="inlineStr">
        <is>
          <t>Potato</t>
        </is>
      </c>
      <c r="C129" s="3" t="n">
        <v>738</v>
      </c>
      <c r="D129" s="3" t="n">
        <v>72</v>
      </c>
      <c r="E129" s="3" t="n">
        <v>0</v>
      </c>
      <c r="F129" s="3">
        <f>C129+E129-D129-K129</f>
        <v/>
      </c>
      <c r="G129" s="3" t="n">
        <v>4</v>
      </c>
      <c r="H129" s="3" t="n">
        <v>75.59999999999999</v>
      </c>
      <c r="I129" s="3" t="n">
        <v>76</v>
      </c>
      <c r="J129" s="3" t="n">
        <v>378</v>
      </c>
      <c r="K129" s="3" t="n">
        <v>80</v>
      </c>
      <c r="L129" s="4" t="n">
        <v>1</v>
      </c>
    </row>
    <row r="130">
      <c r="A130" s="2" t="n">
        <v>46291</v>
      </c>
      <c r="B130" s="3" t="inlineStr">
        <is>
          <t>Cucumber</t>
        </is>
      </c>
      <c r="C130" s="3" t="n">
        <v>69</v>
      </c>
      <c r="D130" s="3" t="n">
        <v>41</v>
      </c>
      <c r="E130" s="3" t="n">
        <v>158</v>
      </c>
      <c r="F130" s="3">
        <f>C130+E130-D130-K130</f>
        <v/>
      </c>
      <c r="G130" s="3" t="n">
        <v>2</v>
      </c>
      <c r="H130" s="3" t="n">
        <v>39.4</v>
      </c>
      <c r="I130" s="3" t="n">
        <v>28</v>
      </c>
      <c r="J130" s="3" t="n">
        <v>107</v>
      </c>
      <c r="K130" s="3" t="n">
        <v>46</v>
      </c>
      <c r="L130" s="4" t="n">
        <v>1</v>
      </c>
    </row>
    <row r="131">
      <c r="A131" s="2" t="n">
        <v>46291</v>
      </c>
      <c r="B131" s="3" t="inlineStr">
        <is>
          <t>Capsicum</t>
        </is>
      </c>
      <c r="C131" s="3" t="n">
        <v>100</v>
      </c>
      <c r="D131" s="3" t="n">
        <v>23</v>
      </c>
      <c r="E131" s="3" t="n">
        <v>166</v>
      </c>
      <c r="F131" s="3">
        <f>C131+E131-D131-K131</f>
        <v/>
      </c>
      <c r="G131" s="3" t="n">
        <v>3</v>
      </c>
      <c r="H131" s="3" t="n">
        <v>33.1</v>
      </c>
      <c r="I131" s="3" t="n">
        <v>29</v>
      </c>
      <c r="J131" s="3" t="n">
        <v>128</v>
      </c>
      <c r="K131" s="3" t="n">
        <v>49</v>
      </c>
      <c r="L131" s="4" t="n">
        <v>1</v>
      </c>
    </row>
    <row r="132">
      <c r="A132" s="2" t="n">
        <v>46292</v>
      </c>
      <c r="B132" s="3" t="inlineStr">
        <is>
          <t>Tomato</t>
        </is>
      </c>
      <c r="C132" s="3" t="n">
        <v>237</v>
      </c>
      <c r="D132" s="3" t="n">
        <v>53</v>
      </c>
      <c r="E132" s="3" t="n">
        <v>344</v>
      </c>
      <c r="F132" s="3">
        <f>C132+E132-D132-K132</f>
        <v/>
      </c>
      <c r="G132" s="3" t="n">
        <v>3</v>
      </c>
      <c r="H132" s="3" t="n">
        <v>68.7</v>
      </c>
      <c r="I132" s="3" t="n">
        <v>60</v>
      </c>
      <c r="J132" s="3" t="n">
        <v>266</v>
      </c>
      <c r="K132" s="3" t="n">
        <v>0</v>
      </c>
      <c r="L132" s="4" t="n">
        <v>1</v>
      </c>
    </row>
    <row r="133">
      <c r="A133" s="2" t="n">
        <v>46292</v>
      </c>
      <c r="B133" s="3" t="inlineStr">
        <is>
          <t>Onion</t>
        </is>
      </c>
      <c r="C133" s="3" t="n">
        <v>431</v>
      </c>
      <c r="D133" s="3" t="n">
        <v>78</v>
      </c>
      <c r="E133" s="3" t="n">
        <v>0</v>
      </c>
      <c r="F133" s="3">
        <f>C133+E133-D133-K133</f>
        <v/>
      </c>
      <c r="G133" s="3" t="n">
        <v>4</v>
      </c>
      <c r="H133" s="3" t="n">
        <v>74.3</v>
      </c>
      <c r="I133" s="3" t="n">
        <v>74</v>
      </c>
      <c r="J133" s="3" t="n">
        <v>371</v>
      </c>
      <c r="K133" s="3" t="n">
        <v>0</v>
      </c>
      <c r="L133" s="4" t="n">
        <v>1</v>
      </c>
    </row>
    <row r="134">
      <c r="A134" s="2" t="n">
        <v>46292</v>
      </c>
      <c r="B134" s="3" t="inlineStr">
        <is>
          <t>Potato</t>
        </is>
      </c>
      <c r="C134" s="3" t="n">
        <v>586</v>
      </c>
      <c r="D134" s="3" t="n">
        <v>103</v>
      </c>
      <c r="E134" s="3" t="n">
        <v>0</v>
      </c>
      <c r="F134" s="3">
        <f>C134+E134-D134-K134</f>
        <v/>
      </c>
      <c r="G134" s="3" t="n">
        <v>4</v>
      </c>
      <c r="H134" s="3" t="n">
        <v>73.09999999999999</v>
      </c>
      <c r="I134" s="3" t="n">
        <v>73</v>
      </c>
      <c r="J134" s="3" t="n">
        <v>366</v>
      </c>
      <c r="K134" s="3" t="n">
        <v>0</v>
      </c>
      <c r="L134" s="4" t="n">
        <v>1</v>
      </c>
    </row>
    <row r="135">
      <c r="A135" s="2" t="n">
        <v>46292</v>
      </c>
      <c r="B135" s="3" t="inlineStr">
        <is>
          <t>Cucumber</t>
        </is>
      </c>
      <c r="C135" s="3" t="n">
        <v>140</v>
      </c>
      <c r="D135" s="3" t="n">
        <v>44</v>
      </c>
      <c r="E135" s="3" t="n">
        <v>0</v>
      </c>
      <c r="F135" s="3">
        <f>C135+E135-D135-K135</f>
        <v/>
      </c>
      <c r="G135" s="3" t="n">
        <v>2</v>
      </c>
      <c r="H135" s="3" t="n">
        <v>40</v>
      </c>
      <c r="I135" s="3" t="n">
        <v>28</v>
      </c>
      <c r="J135" s="3" t="n">
        <v>108</v>
      </c>
      <c r="K135" s="3" t="n">
        <v>0</v>
      </c>
      <c r="L135" s="4" t="n">
        <v>1</v>
      </c>
    </row>
    <row r="136">
      <c r="A136" s="2" t="n">
        <v>46292</v>
      </c>
      <c r="B136" s="3" t="inlineStr">
        <is>
          <t>Capsicum</t>
        </is>
      </c>
      <c r="C136" s="3" t="n">
        <v>194</v>
      </c>
      <c r="D136" s="3" t="n">
        <v>29</v>
      </c>
      <c r="E136" s="3" t="n">
        <v>0</v>
      </c>
      <c r="F136" s="3">
        <f>C136+E136-D136-K136</f>
        <v/>
      </c>
      <c r="G136" s="3" t="n">
        <v>3</v>
      </c>
      <c r="H136" s="3" t="n">
        <v>32</v>
      </c>
      <c r="I136" s="3" t="n">
        <v>28</v>
      </c>
      <c r="J136" s="3" t="n">
        <v>124</v>
      </c>
      <c r="K136" s="3" t="n">
        <v>0</v>
      </c>
      <c r="L136" s="4" t="n">
        <v>1</v>
      </c>
    </row>
    <row r="137">
      <c r="A137" s="2" t="n">
        <v>46293</v>
      </c>
      <c r="B137" s="3" t="inlineStr">
        <is>
          <t>Tomato</t>
        </is>
      </c>
      <c r="C137" s="3" t="n">
        <v>528</v>
      </c>
      <c r="D137" s="3" t="n">
        <v>56</v>
      </c>
      <c r="E137" s="3" t="n">
        <v>0</v>
      </c>
      <c r="F137" s="3">
        <f>C137+E137-D137-K137</f>
        <v/>
      </c>
      <c r="G137" s="3" t="n">
        <v>3</v>
      </c>
      <c r="H137" s="3" t="n">
        <v>67.59999999999999</v>
      </c>
      <c r="I137" s="3" t="n">
        <v>59</v>
      </c>
      <c r="J137" s="3" t="n">
        <v>262</v>
      </c>
      <c r="K137" s="3" t="n">
        <v>0</v>
      </c>
      <c r="L137" s="4" t="n">
        <v>1</v>
      </c>
    </row>
    <row r="138">
      <c r="A138" s="2" t="n">
        <v>46293</v>
      </c>
      <c r="B138" s="3" t="inlineStr">
        <is>
          <t>Onion</t>
        </is>
      </c>
      <c r="C138" s="3" t="n">
        <v>353</v>
      </c>
      <c r="D138" s="3" t="n">
        <v>74</v>
      </c>
      <c r="E138" s="3" t="n">
        <v>451</v>
      </c>
      <c r="F138" s="3">
        <f>C138+E138-D138-K138</f>
        <v/>
      </c>
      <c r="G138" s="3" t="n">
        <v>4</v>
      </c>
      <c r="H138" s="3" t="n">
        <v>75.09999999999999</v>
      </c>
      <c r="I138" s="3" t="n">
        <v>75</v>
      </c>
      <c r="J138" s="3" t="n">
        <v>376</v>
      </c>
      <c r="K138" s="3" t="n">
        <v>0</v>
      </c>
      <c r="L138" s="4" t="n">
        <v>1</v>
      </c>
    </row>
    <row r="139">
      <c r="A139" s="2" t="n">
        <v>46293</v>
      </c>
      <c r="B139" s="3" t="inlineStr">
        <is>
          <t>Potato</t>
        </is>
      </c>
      <c r="C139" s="3" t="n">
        <v>483</v>
      </c>
      <c r="D139" s="3" t="n">
        <v>93</v>
      </c>
      <c r="E139" s="3" t="n">
        <v>0</v>
      </c>
      <c r="F139" s="3">
        <f>C139+E139-D139-K139</f>
        <v/>
      </c>
      <c r="G139" s="3" t="n">
        <v>4</v>
      </c>
      <c r="H139" s="3" t="n">
        <v>79</v>
      </c>
      <c r="I139" s="3" t="n">
        <v>79</v>
      </c>
      <c r="J139" s="3" t="n">
        <v>395</v>
      </c>
      <c r="K139" s="3" t="n">
        <v>0</v>
      </c>
      <c r="L139" s="4" t="n">
        <v>1</v>
      </c>
    </row>
    <row r="140">
      <c r="A140" s="2" t="n">
        <v>46293</v>
      </c>
      <c r="B140" s="3" t="inlineStr">
        <is>
          <t>Cucumber</t>
        </is>
      </c>
      <c r="C140" s="3" t="n">
        <v>96</v>
      </c>
      <c r="D140" s="3" t="n">
        <v>50</v>
      </c>
      <c r="E140" s="3" t="n">
        <v>159</v>
      </c>
      <c r="F140" s="3">
        <f>C140+E140-D140-K140</f>
        <v/>
      </c>
      <c r="G140" s="3" t="n">
        <v>2</v>
      </c>
      <c r="H140" s="3" t="n">
        <v>39.9</v>
      </c>
      <c r="I140" s="3" t="n">
        <v>28</v>
      </c>
      <c r="J140" s="3" t="n">
        <v>108</v>
      </c>
      <c r="K140" s="3" t="n">
        <v>0</v>
      </c>
      <c r="L140" s="4" t="n">
        <v>1</v>
      </c>
    </row>
    <row r="141">
      <c r="A141" s="2" t="n">
        <v>46293</v>
      </c>
      <c r="B141" s="3" t="inlineStr">
        <is>
          <t>Capsicum</t>
        </is>
      </c>
      <c r="C141" s="3" t="n">
        <v>165</v>
      </c>
      <c r="D141" s="3" t="n">
        <v>22</v>
      </c>
      <c r="E141" s="3" t="n">
        <v>0</v>
      </c>
      <c r="F141" s="3">
        <f>C141+E141-D141-K141</f>
        <v/>
      </c>
      <c r="G141" s="3" t="n">
        <v>3</v>
      </c>
      <c r="H141" s="3" t="n">
        <v>31.1</v>
      </c>
      <c r="I141" s="3" t="n">
        <v>27</v>
      </c>
      <c r="J141" s="3" t="n">
        <v>120</v>
      </c>
      <c r="K141" s="3" t="n">
        <v>0</v>
      </c>
      <c r="L141" s="4" t="n">
        <v>1</v>
      </c>
    </row>
    <row r="142">
      <c r="A142" s="2" t="n">
        <v>46294</v>
      </c>
      <c r="B142" s="3" t="inlineStr">
        <is>
          <t>Tomato</t>
        </is>
      </c>
      <c r="C142" s="3" t="n">
        <v>472</v>
      </c>
      <c r="D142" s="3" t="n">
        <v>74</v>
      </c>
      <c r="E142" s="3" t="n">
        <v>0</v>
      </c>
      <c r="F142" s="3">
        <f>C142+E142-D142-K142</f>
        <v/>
      </c>
      <c r="G142" s="3" t="n">
        <v>3</v>
      </c>
      <c r="H142" s="3" t="n">
        <v>67.59999999999999</v>
      </c>
      <c r="I142" s="3" t="n">
        <v>59</v>
      </c>
      <c r="J142" s="3" t="n">
        <v>262</v>
      </c>
      <c r="K142" s="3" t="n">
        <v>0</v>
      </c>
      <c r="L142" s="4" t="n">
        <v>1</v>
      </c>
    </row>
    <row r="143">
      <c r="A143" s="2" t="n">
        <v>46294</v>
      </c>
      <c r="B143" s="3" t="inlineStr">
        <is>
          <t>Onion</t>
        </is>
      </c>
      <c r="C143" s="3" t="n">
        <v>730</v>
      </c>
      <c r="D143" s="3" t="n">
        <v>87</v>
      </c>
      <c r="E143" s="3" t="n">
        <v>0</v>
      </c>
      <c r="F143" s="3">
        <f>C143+E143-D143-K143</f>
        <v/>
      </c>
      <c r="G143" s="3" t="n">
        <v>4</v>
      </c>
      <c r="H143" s="3" t="n">
        <v>75.90000000000001</v>
      </c>
      <c r="I143" s="3" t="n">
        <v>76</v>
      </c>
      <c r="J143" s="3" t="n">
        <v>379</v>
      </c>
      <c r="K143" s="3" t="n">
        <v>0</v>
      </c>
      <c r="L143" s="4" t="n">
        <v>1</v>
      </c>
    </row>
    <row r="144">
      <c r="A144" s="2" t="n">
        <v>46294</v>
      </c>
      <c r="B144" s="3" t="inlineStr">
        <is>
          <t>Potato</t>
        </is>
      </c>
      <c r="C144" s="3" t="n">
        <v>390</v>
      </c>
      <c r="D144" s="3" t="n">
        <v>60</v>
      </c>
      <c r="E144" s="3" t="n">
        <v>479</v>
      </c>
      <c r="F144" s="3">
        <f>C144+E144-D144-K144</f>
        <v/>
      </c>
      <c r="G144" s="3" t="n">
        <v>4</v>
      </c>
      <c r="H144" s="3" t="n">
        <v>79.90000000000001</v>
      </c>
      <c r="I144" s="3" t="n">
        <v>80</v>
      </c>
      <c r="J144" s="3" t="n">
        <v>399</v>
      </c>
      <c r="K144" s="3" t="n">
        <v>0</v>
      </c>
      <c r="L144" s="4" t="n">
        <v>1</v>
      </c>
    </row>
    <row r="145">
      <c r="A145" s="2" t="n">
        <v>46294</v>
      </c>
      <c r="B145" s="3" t="inlineStr">
        <is>
          <t>Cucumber</t>
        </is>
      </c>
      <c r="C145" s="3" t="n">
        <v>205</v>
      </c>
      <c r="D145" s="3" t="n">
        <v>33</v>
      </c>
      <c r="E145" s="3" t="n">
        <v>0</v>
      </c>
      <c r="F145" s="3">
        <f>C145+E145-D145-K145</f>
        <v/>
      </c>
      <c r="G145" s="3" t="n">
        <v>2</v>
      </c>
      <c r="H145" s="3" t="n">
        <v>41.6</v>
      </c>
      <c r="I145" s="3" t="n">
        <v>29</v>
      </c>
      <c r="J145" s="3" t="n">
        <v>112</v>
      </c>
      <c r="K145" s="3" t="n">
        <v>0</v>
      </c>
      <c r="L145" s="4" t="n">
        <v>1</v>
      </c>
    </row>
    <row r="146">
      <c r="A146" s="2" t="n">
        <v>46294</v>
      </c>
      <c r="B146" s="3" t="inlineStr">
        <is>
          <t>Capsicum</t>
        </is>
      </c>
      <c r="C146" s="3" t="n">
        <v>143</v>
      </c>
      <c r="D146" s="3" t="n">
        <v>27</v>
      </c>
      <c r="E146" s="3" t="n">
        <v>0</v>
      </c>
      <c r="F146" s="3">
        <f>C146+E146-D146-K146</f>
        <v/>
      </c>
      <c r="G146" s="3" t="n">
        <v>3</v>
      </c>
      <c r="H146" s="3" t="n">
        <v>30.1</v>
      </c>
      <c r="I146" s="3" t="n">
        <v>26</v>
      </c>
      <c r="J146" s="3" t="n">
        <v>116</v>
      </c>
      <c r="K146" s="3" t="n">
        <v>0</v>
      </c>
      <c r="L146" s="4" t="n">
        <v>1</v>
      </c>
    </row>
    <row r="147">
      <c r="A147" s="2" t="n">
        <v>46295</v>
      </c>
      <c r="B147" s="3" t="inlineStr">
        <is>
          <t>Tomato</t>
        </is>
      </c>
      <c r="C147" s="3" t="n">
        <v>398</v>
      </c>
      <c r="D147" s="3" t="n">
        <v>49</v>
      </c>
      <c r="E147" s="3" t="n">
        <v>0</v>
      </c>
      <c r="F147" s="3">
        <f>C147+E147-D147-K147</f>
        <v/>
      </c>
      <c r="G147" s="3" t="n">
        <v>3</v>
      </c>
      <c r="H147" s="3" t="n">
        <v>67.90000000000001</v>
      </c>
      <c r="I147" s="3" t="n">
        <v>59</v>
      </c>
      <c r="J147" s="3" t="n">
        <v>263</v>
      </c>
      <c r="K147" s="3" t="n">
        <v>0</v>
      </c>
      <c r="L147" s="4" t="n">
        <v>1</v>
      </c>
    </row>
    <row r="148">
      <c r="A148" s="2" t="n">
        <v>46295</v>
      </c>
      <c r="B148" s="3" t="inlineStr">
        <is>
          <t>Onion</t>
        </is>
      </c>
      <c r="C148" s="3" t="n">
        <v>643</v>
      </c>
      <c r="D148" s="3" t="n">
        <v>59</v>
      </c>
      <c r="E148" s="3" t="n">
        <v>0</v>
      </c>
      <c r="F148" s="3">
        <f>C148+E148-D148-K148</f>
        <v/>
      </c>
      <c r="G148" s="3" t="n">
        <v>4</v>
      </c>
      <c r="H148" s="3" t="n">
        <v>75.3</v>
      </c>
      <c r="I148" s="3" t="n">
        <v>75</v>
      </c>
      <c r="J148" s="3" t="n">
        <v>376</v>
      </c>
      <c r="K148" s="3" t="n">
        <v>0</v>
      </c>
      <c r="L148" s="4" t="n">
        <v>1</v>
      </c>
    </row>
    <row r="149">
      <c r="A149" s="2" t="n">
        <v>46295</v>
      </c>
      <c r="B149" s="3" t="inlineStr">
        <is>
          <t>Potato</t>
        </is>
      </c>
      <c r="C149" s="3" t="n">
        <v>809</v>
      </c>
      <c r="D149" s="3" t="n">
        <v>64</v>
      </c>
      <c r="E149" s="3" t="n">
        <v>0</v>
      </c>
      <c r="F149" s="3">
        <f>C149+E149-D149-K149</f>
        <v/>
      </c>
      <c r="G149" s="3" t="n">
        <v>4</v>
      </c>
      <c r="H149" s="3" t="n">
        <v>79.09999999999999</v>
      </c>
      <c r="I149" s="3" t="n">
        <v>79</v>
      </c>
      <c r="J149" s="3" t="n">
        <v>396</v>
      </c>
      <c r="K149" s="3" t="n">
        <v>0</v>
      </c>
      <c r="L149" s="4" t="n">
        <v>1</v>
      </c>
    </row>
    <row r="150">
      <c r="A150" s="2" t="n">
        <v>46295</v>
      </c>
      <c r="B150" s="3" t="inlineStr">
        <is>
          <t>Cucumber</t>
        </is>
      </c>
      <c r="C150" s="3" t="n">
        <v>172</v>
      </c>
      <c r="D150" s="3" t="n">
        <v>43</v>
      </c>
      <c r="E150" s="3" t="n">
        <v>0</v>
      </c>
      <c r="F150" s="3">
        <f>C150+E150-D150-K150</f>
        <v/>
      </c>
      <c r="G150" s="3" t="n">
        <v>2</v>
      </c>
      <c r="H150" s="3" t="n">
        <v>41.9</v>
      </c>
      <c r="I150" s="3" t="n">
        <v>30</v>
      </c>
      <c r="J150" s="3" t="n">
        <v>114</v>
      </c>
      <c r="K150" s="3" t="n">
        <v>0</v>
      </c>
      <c r="L150" s="4" t="n">
        <v>1</v>
      </c>
    </row>
    <row r="151">
      <c r="A151" s="2" t="n">
        <v>46295</v>
      </c>
      <c r="B151" s="3" t="inlineStr">
        <is>
          <t>Capsicum</t>
        </is>
      </c>
      <c r="C151" s="3" t="n">
        <v>116</v>
      </c>
      <c r="D151" s="3" t="n">
        <v>29</v>
      </c>
      <c r="E151" s="3" t="n">
        <v>0</v>
      </c>
      <c r="F151" s="3">
        <f>C151+E151-D151-K151</f>
        <v/>
      </c>
      <c r="G151" s="3" t="n">
        <v>3</v>
      </c>
      <c r="H151" s="3" t="n">
        <v>28.9</v>
      </c>
      <c r="I151" s="3" t="n">
        <v>25</v>
      </c>
      <c r="J151" s="3" t="n">
        <v>112</v>
      </c>
      <c r="K151" s="3" t="n">
        <v>0</v>
      </c>
      <c r="L151" s="4" t="n">
        <v>1</v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2" customWidth="1" min="3" max="3"/>
    <col width="18" customWidth="1" min="4" max="4"/>
    <col width="16" customWidth="1" min="5" max="5"/>
    <col width="16" customWidth="1" min="6" max="6"/>
  </cols>
  <sheetData>
    <row r="1">
      <c r="A1" s="5" t="inlineStr">
        <is>
          <t>FRESH PRODUCE SUPPLY CHAIN &amp; INVENTORY PLANNING</t>
        </is>
      </c>
      <c r="B1" s="6" t="n"/>
      <c r="C1" s="6" t="n"/>
      <c r="D1" s="6" t="n"/>
      <c r="E1" s="6" t="n"/>
      <c r="F1" s="6" t="n"/>
    </row>
    <row r="2">
      <c r="A2" s="7" t="inlineStr">
        <is>
          <t>Portfolio project | Simulated data only — not Fambo company data</t>
        </is>
      </c>
      <c r="B2" s="6" t="n"/>
      <c r="C2" s="6" t="n"/>
      <c r="D2" s="6" t="n"/>
      <c r="E2" s="6" t="n"/>
      <c r="F2" s="6" t="n"/>
    </row>
    <row r="3">
      <c r="A3" s="6" t="inlineStr">
        <is>
          <t>KPI</t>
        </is>
      </c>
      <c r="B3" s="6" t="inlineStr">
        <is>
          <t>Value</t>
        </is>
      </c>
      <c r="C3" s="6" t="inlineStr">
        <is>
          <t>Interpretation</t>
        </is>
      </c>
      <c r="D3" s="6" t="n"/>
      <c r="E3" s="6" t="n"/>
      <c r="F3" s="6" t="n"/>
    </row>
    <row r="4">
      <c r="A4" s="8" t="inlineStr">
        <is>
          <t>Total demand (kg)</t>
        </is>
      </c>
      <c r="B4" s="9">
        <f>'Daily Demand &amp; Stock'!D2</f>
        <v/>
      </c>
      <c r="C4" s="6" t="inlineStr">
        <is>
          <t>Sum of demand across the period</t>
        </is>
      </c>
      <c r="D4" s="6" t="n"/>
      <c r="E4" s="6" t="n"/>
      <c r="F4" s="6" t="n"/>
    </row>
    <row r="5">
      <c r="A5" s="8" t="inlineStr">
        <is>
          <t>Total received (kg)</t>
        </is>
      </c>
      <c r="B5" s="9">
        <f>'Daily Demand &amp; Stock'!E2</f>
        <v/>
      </c>
      <c r="C5" s="6" t="inlineStr">
        <is>
          <t>Replenishment volume</t>
        </is>
      </c>
      <c r="D5" s="6" t="n"/>
      <c r="E5" s="6" t="n"/>
      <c r="F5" s="6" t="n"/>
    </row>
    <row r="6">
      <c r="A6" s="8" t="inlineStr">
        <is>
          <t>Total expiry/waste (kg)</t>
        </is>
      </c>
      <c r="B6" s="9">
        <f>'Daily Demand &amp; Stock'!K2</f>
        <v/>
      </c>
      <c r="C6" s="6" t="inlineStr">
        <is>
          <t>Track avoidable loss</t>
        </is>
      </c>
      <c r="D6" s="6" t="n"/>
      <c r="E6" s="6" t="n"/>
      <c r="F6" s="6" t="n"/>
    </row>
    <row r="7">
      <c r="A7" s="8" t="inlineStr">
        <is>
          <t>Average fill rate</t>
        </is>
      </c>
      <c r="B7" s="10">
        <f>'Daily Demand &amp; Stock'!L2</f>
        <v/>
      </c>
      <c r="C7" s="6" t="inlineStr">
        <is>
          <t>Share of demand fulfilled</t>
        </is>
      </c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11" t="inlineStr">
        <is>
          <t>Product-level summary</t>
        </is>
      </c>
      <c r="B10" s="11" t="n"/>
      <c r="C10" s="11" t="n"/>
      <c r="D10" s="11" t="n"/>
      <c r="E10" s="11" t="n"/>
      <c r="F10" s="11" t="n"/>
    </row>
    <row r="11">
      <c r="A11" s="11" t="inlineStr">
        <is>
          <t>Product</t>
        </is>
      </c>
      <c r="B11" s="11" t="inlineStr">
        <is>
          <t>Demand (kg)</t>
        </is>
      </c>
      <c r="C11" s="11" t="inlineStr">
        <is>
          <t>Waste (kg)</t>
        </is>
      </c>
      <c r="D11" s="11" t="inlineStr">
        <is>
          <t>Avg Fill Rate</t>
        </is>
      </c>
      <c r="E11" s="11" t="n"/>
      <c r="F11" s="11" t="n"/>
    </row>
    <row r="12">
      <c r="A12" s="6" t="inlineStr">
        <is>
          <t>Tomato</t>
        </is>
      </c>
      <c r="B12" s="6">
        <f>SUMIF('Daily Demand &amp; Stock'!B:B,A12,'Daily Demand &amp; Stock'!D:D)</f>
        <v/>
      </c>
      <c r="C12" s="6">
        <f>SUMIF('Daily Demand &amp; Stock'!B:B,A12,'Daily Demand &amp; Stock'!K:K)</f>
        <v/>
      </c>
      <c r="D12" s="12">
        <f>AVERAGEIF('Daily Demand &amp; Stock'!B:B,A12,'Daily Demand &amp; Stock'!L:L)</f>
        <v/>
      </c>
      <c r="E12" s="6" t="n"/>
      <c r="F12" s="6" t="n"/>
    </row>
    <row r="13">
      <c r="A13" s="6" t="inlineStr">
        <is>
          <t>Onion</t>
        </is>
      </c>
      <c r="B13" s="6">
        <f>SUMIF('Daily Demand &amp; Stock'!B:B,A13,'Daily Demand &amp; Stock'!D:D)</f>
        <v/>
      </c>
      <c r="C13" s="6">
        <f>SUMIF('Daily Demand &amp; Stock'!B:B,A13,'Daily Demand &amp; Stock'!K:K)</f>
        <v/>
      </c>
      <c r="D13" s="12">
        <f>AVERAGEIF('Daily Demand &amp; Stock'!B:B,A13,'Daily Demand &amp; Stock'!L:L)</f>
        <v/>
      </c>
      <c r="E13" s="6" t="n"/>
      <c r="F13" s="6" t="n"/>
    </row>
    <row r="14">
      <c r="A14" s="6" t="inlineStr">
        <is>
          <t>Potato</t>
        </is>
      </c>
      <c r="B14" s="6">
        <f>SUMIF('Daily Demand &amp; Stock'!B:B,A14,'Daily Demand &amp; Stock'!D:D)</f>
        <v/>
      </c>
      <c r="C14" s="6">
        <f>SUMIF('Daily Demand &amp; Stock'!B:B,A14,'Daily Demand &amp; Stock'!K:K)</f>
        <v/>
      </c>
      <c r="D14" s="12">
        <f>AVERAGEIF('Daily Demand &amp; Stock'!B:B,A14,'Daily Demand &amp; Stock'!L:L)</f>
        <v/>
      </c>
      <c r="E14" s="6" t="n"/>
      <c r="F14" s="6" t="n"/>
    </row>
    <row r="15">
      <c r="A15" s="6" t="inlineStr">
        <is>
          <t>Cucumber</t>
        </is>
      </c>
      <c r="B15" s="6">
        <f>SUMIF('Daily Demand &amp; Stock'!B:B,A15,'Daily Demand &amp; Stock'!D:D)</f>
        <v/>
      </c>
      <c r="C15" s="6">
        <f>SUMIF('Daily Demand &amp; Stock'!B:B,A15,'Daily Demand &amp; Stock'!K:K)</f>
        <v/>
      </c>
      <c r="D15" s="12">
        <f>AVERAGEIF('Daily Demand &amp; Stock'!B:B,A15,'Daily Demand &amp; Stock'!L:L)</f>
        <v/>
      </c>
      <c r="E15" s="6" t="n"/>
      <c r="F15" s="6" t="n"/>
    </row>
    <row r="16">
      <c r="A16" s="6" t="inlineStr">
        <is>
          <t>Capsicum</t>
        </is>
      </c>
      <c r="B16" s="6">
        <f>SUMIF('Daily Demand &amp; Stock'!B:B,A16,'Daily Demand &amp; Stock'!D:D)</f>
        <v/>
      </c>
      <c r="C16" s="6">
        <f>SUMIF('Daily Demand &amp; Stock'!B:B,A16,'Daily Demand &amp; Stock'!K:K)</f>
        <v/>
      </c>
      <c r="D16" s="12">
        <f>AVERAGEIF('Daily Demand &amp; Stock'!B:B,A16,'Daily Demand &amp; Stock'!L:L)</f>
        <v/>
      </c>
      <c r="E16" s="6" t="n"/>
      <c r="F16" s="6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3" t="inlineStr">
        <is>
          <t>PROJECT NOTES &amp; ASSUMPTIONS</t>
        </is>
      </c>
    </row>
    <row r="3" ht="38" customHeight="1">
      <c r="A3" s="14" t="inlineStr">
        <is>
          <t>Purpose</t>
        </is>
      </c>
      <c r="B3" s="15" t="inlineStr">
        <is>
          <t>Demonstrate basic fresh-produce demand and inventory planning using a small simulated dataset.</t>
        </is>
      </c>
    </row>
    <row r="4" ht="38" customHeight="1">
      <c r="A4" s="14" t="inlineStr">
        <is>
          <t>Data status</t>
        </is>
      </c>
      <c r="B4" s="15" t="inlineStr">
        <is>
          <t>All values are simulated for portfolio practice. They are not Fambo data and are not actual operational results.</t>
        </is>
      </c>
    </row>
    <row r="5" ht="38" customHeight="1">
      <c r="A5" s="14" t="inlineStr">
        <is>
          <t>Metrics</t>
        </is>
      </c>
      <c r="B5" s="15" t="inlineStr">
        <is>
          <t>Demand, replenishment, closing stock, safety stock, reorder point, expiry/waste, and fill rate.</t>
        </is>
      </c>
    </row>
    <row r="6" ht="38" customHeight="1">
      <c r="A6" s="14" t="inlineStr">
        <is>
          <t>Reorder logic</t>
        </is>
      </c>
      <c r="B6" s="15" t="inlineStr">
        <is>
          <t>Illustrative rule: average daily demand × lead time + safety stock.</t>
        </is>
      </c>
    </row>
    <row r="7" ht="38" customHeight="1">
      <c r="A7" s="14" t="inlineStr">
        <is>
          <t>Safety stock assumption</t>
        </is>
      </c>
      <c r="B7" s="15" t="inlineStr">
        <is>
          <t>Illustrative buffer = 0.5 × average daily demand × square root of lead time. This is a learning assumption, not a company policy.</t>
        </is>
      </c>
    </row>
    <row r="8" ht="38" customHeight="1">
      <c r="A8" s="14" t="inlineStr">
        <is>
          <t>Limitations</t>
        </is>
      </c>
      <c r="B8" s="15" t="inlineStr">
        <is>
          <t>The workbook is a practice example; actual decisions require real order, shelf-life, supplier, lead-time, and service-level data.</t>
        </is>
      </c>
    </row>
    <row r="9" ht="38" customHeight="1">
      <c r="A9" s="14" t="inlineStr">
        <is>
          <t>Interview discussion</t>
        </is>
      </c>
      <c r="B9" s="15" t="inlineStr">
        <is>
          <t>Explain how you would validate data, track FEFO/expiry, measure wastage and fill rate, and review reorder parameters with the operations team.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2026-10-12T11:03:46Z</dcterms:created>
  <dcterms:modified xmlns:dcterms="http://purl.org/dc/terms/" xmlns:xsi="http://www.w3.org/2001/XMLSchema-instance" xsi:type="dcterms:W3CDTF">2026-10-12T11:03:46Z</dcterms:modified>
</cp:coreProperties>
</file>