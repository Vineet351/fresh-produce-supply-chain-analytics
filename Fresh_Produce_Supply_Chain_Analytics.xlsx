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Waste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ReadMe" sheetId="7" state="visible" r:id="rId7"/>
  </sheets>
  <definedNames>
    <definedName name="_xlnm.Print_Area" localSheetId="0">'Dashboard'!$A$1:$R$76</definedName>
    <definedName name="_xlnm._FilterDatabase" localSheetId="5" hidden="1">'Data'!$A$1:$P$151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"/>
    <numFmt numFmtId="166" formatCode="0.0%"/>
    <numFmt numFmtId="167" formatCode="0.0"/>
    <numFmt numFmtId="168" formatCode="#,##0.0"/>
    <numFmt numFmtId="169" formatCode="+0.0%;-0.0%;0.0%"/>
    <numFmt numFmtId="170" formatCode="dd-mmm"/>
    <numFmt numFmtId="171" formatCode="#,##0;-#,##0;&quot;-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FFFFFF"/>
      <sz val="16"/>
    </font>
    <font>
      <name val="Arial"/>
      <i val="1"/>
      <color rgb="0052606D"/>
      <sz val="9"/>
    </font>
    <font>
      <name val="Arial"/>
      <b val="1"/>
      <color rgb="001B4332"/>
      <sz val="11"/>
    </font>
    <font>
      <name val="Arial"/>
      <b val="1"/>
      <color rgb="001F2933"/>
      <sz val="10"/>
    </font>
    <font>
      <name val="Arial"/>
      <b val="1"/>
      <color rgb="00E76F51"/>
      <sz val="10"/>
    </font>
    <font>
      <name val="Arial"/>
      <i val="1"/>
      <color rgb="00E76F51"/>
      <sz val="8"/>
    </font>
    <font>
      <name val="Arial"/>
      <b val="1"/>
      <color rgb="000000FF"/>
      <sz val="10"/>
    </font>
    <font>
      <name val="Arial"/>
      <color rgb="000000FF"/>
      <sz val="10"/>
    </font>
    <font>
      <name val="Arial"/>
      <b val="1"/>
      <color rgb="00FFFFFF"/>
      <sz val="15"/>
    </font>
    <font>
      <name val="Arial"/>
      <b val="1"/>
      <color rgb="0052606D"/>
      <sz val="9"/>
    </font>
    <font>
      <name val="Arial"/>
      <b val="1"/>
      <color rgb="001B4332"/>
      <sz val="26"/>
    </font>
    <font>
      <name val="Arial"/>
      <b val="1"/>
      <color rgb="00E76F51"/>
      <sz val="26"/>
    </font>
    <font>
      <name val="Arial"/>
      <b val="1"/>
      <color rgb="002D6A4F"/>
      <sz val="26"/>
    </font>
    <font>
      <name val="Arial"/>
      <b val="1"/>
      <color rgb="001B4332"/>
      <sz val="10"/>
    </font>
    <font>
      <name val="Arial"/>
      <b val="1"/>
      <color rgb="00E63946"/>
      <sz val="10"/>
    </font>
    <font>
      <name val="Arial"/>
      <b val="1"/>
      <color rgb="008E5BA8"/>
      <sz val="10"/>
    </font>
    <font>
      <name val="Arial"/>
      <b val="1"/>
      <color rgb="00D4A24C"/>
      <sz val="10"/>
    </font>
    <font>
      <name val="Arial"/>
      <b val="1"/>
      <color rgb="002A9D8F"/>
      <sz val="10"/>
    </font>
    <font>
      <name val="Arial"/>
      <b val="1"/>
      <color rgb="00F4A261"/>
      <sz val="10"/>
    </font>
    <font>
      <name val="Arial"/>
      <b val="1"/>
      <color rgb="002D6A4F"/>
      <sz val="10"/>
    </font>
  </fonts>
  <fills count="9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4F6F5"/>
        <bgColor rgb="00F4F6F5"/>
      </patternFill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FFF3B0"/>
        <bgColor rgb="00FFF3B0"/>
      </patternFill>
    </fill>
    <fill>
      <patternFill patternType="solid">
        <fgColor rgb="002A9D8F"/>
        <bgColor rgb="002A9D8F"/>
      </patternFill>
    </fill>
    <fill>
      <patternFill patternType="solid">
        <fgColor rgb="00E76F51"/>
        <bgColor rgb="00E76F51"/>
      </patternFill>
    </fill>
  </fills>
  <borders count="7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  <border/>
    <border>
      <left style="medium">
        <color rgb="001B4332"/>
      </left>
    </border>
    <border>
      <right style="thin">
        <color rgb="00FFFFFF"/>
      </right>
    </border>
    <border>
      <left style="medium">
        <color rgb="00E76F51"/>
      </left>
    </border>
    <border>
      <left style="medium">
        <color rgb="002D6A4F"/>
      </left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1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12" fillId="3" borderId="3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4" pivotButton="0" quotePrefix="0" xfId="0"/>
    <xf numFmtId="0" fontId="12" fillId="3" borderId="5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3" fontId="13" fillId="3" borderId="3" applyAlignment="1" pivotButton="0" quotePrefix="0" xfId="0">
      <alignment horizontal="center" vertical="center" wrapText="1"/>
    </xf>
    <xf numFmtId="3" fontId="14" fillId="3" borderId="5" applyAlignment="1" pivotButton="0" quotePrefix="0" xfId="0">
      <alignment horizontal="center" vertical="center" wrapText="1"/>
    </xf>
    <xf numFmtId="166" fontId="14" fillId="3" borderId="5" applyAlignment="1" pivotButton="0" quotePrefix="0" xfId="0">
      <alignment horizontal="center" vertical="center" wrapText="1"/>
    </xf>
    <xf numFmtId="9" fontId="15" fillId="3" borderId="6" applyAlignment="1" pivotButton="0" quotePrefix="0" xfId="0">
      <alignment horizontal="center" vertical="center" wrapText="1"/>
    </xf>
    <xf numFmtId="1" fontId="15" fillId="3" borderId="6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5" pivotButton="0" quotePrefix="0" xfId="0"/>
    <xf numFmtId="0" fontId="0" fillId="3" borderId="6" pivotButton="0" quotePrefix="0" xfId="0"/>
    <xf numFmtId="0" fontId="4" fillId="3" borderId="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1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1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2" fillId="3" borderId="0" applyAlignment="1" pivotButton="0" quotePrefix="0" xfId="0">
      <alignment horizontal="left" vertical="top" wrapText="1" indent="1"/>
    </xf>
    <xf numFmtId="0" fontId="0" fillId="3" borderId="0" pivotButton="0" quotePrefix="0" xfId="0"/>
    <xf numFmtId="0" fontId="16" fillId="0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7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70" fontId="6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/>
    </xf>
    <xf numFmtId="169" fontId="2" fillId="0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170" fontId="2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9" fontId="9" fillId="6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71" fontId="2" fillId="0" borderId="1" applyAlignment="1" pivotButton="0" quotePrefix="0" xfId="0">
      <alignment horizontal="center" vertical="center" wrapText="1"/>
    </xf>
    <xf numFmtId="171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2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20" fillId="0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Arial"/>
        <b val="1"/>
        <color rgb="009B1C1C"/>
      </font>
      <fill>
        <patternFill patternType="solid">
          <fgColor rgb="00F8C6BE"/>
          <bgColor rgb="00F8C6BE"/>
        </patternFill>
      </fill>
    </dxf>
    <dxf>
      <font>
        <name val="Arial"/>
        <b val="1"/>
        <color rgb="007A5A00"/>
      </font>
      <fill>
        <patternFill patternType="solid">
          <fgColor rgb="00FCE8A6"/>
          <bgColor rgb="00FCE8A6"/>
        </patternFill>
      </fill>
    </dxf>
    <dxf>
      <font>
        <name val="Arial"/>
        <b val="1"/>
        <color rgb="001B5E37"/>
      </font>
      <fill>
        <patternFill patternType="solid">
          <fgColor rgb="00CDEBD5"/>
          <bgColor rgb="00CDEB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4332"/>
                </a:solidFill>
                <a:latin typeface="Arial"/>
              </a:defRPr>
            </a:pPr>
            <a:r>
              <a:rPr sz="1200" b="1">
                <a:solidFill>
                  <a:srgbClr val="1B4332"/>
                </a:solidFill>
                <a:latin typeface="Arial"/>
              </a:rPr>
              <a:t>Daily total demand: actual vs forecast (kg)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'Demand'!G14</f>
            </strRef>
          </tx>
          <spPr>
            <a:ln xmlns:a="http://schemas.openxmlformats.org/drawingml/2006/main" w="28000">
              <a:solidFill>
                <a:srgbClr val="2D6A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'Demand'!$A$15:$A$58</f>
            </numRef>
          </cat>
          <val>
            <numRef>
              <f>'Demand'!$G$15:$G$58</f>
            </numRef>
          </val>
          <smooth val="0"/>
        </ser>
        <ser>
          <idx val="1"/>
          <order val="1"/>
          <tx>
            <strRef>
              <f>'Demand'!H14</f>
            </strRef>
          </tx>
          <spPr>
            <a:ln xmlns:a="http://schemas.openxmlformats.org/drawingml/2006/main" w="25000">
              <a:solidFill>
                <a:srgbClr val="E76F5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'Demand'!$A$15:$A$58</f>
            </numRef>
          </cat>
          <val>
            <numRef>
              <f>'Demand'!$H$15:$H$58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150"/>
        </scaling>
        <delete val="0"/>
        <axPos val="l"/>
        <majorGridlines>
          <spPr>
            <a:ln xmlns:a="http://schemas.openxmlformats.org/drawingml/2006/main" w="6350">
              <a:solidFill>
                <a:srgbClr val="E6EC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606D"/>
              </a:solidFill>
              <a:latin typeface="Arial"/>
            </a:defRPr>
          </a:pPr>
          <a:r>
            <a:t/>
          </a:r>
          <a:endParaRPr sz="900" b="0">
            <a:solidFill>
              <a:srgbClr val="52606D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DD8"/>
      </a:solidFill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4332"/>
                </a:solidFill>
                <a:latin typeface="Arial"/>
              </a:defRPr>
            </a:pPr>
            <a:r>
              <a:rPr sz="1200" b="1">
                <a:solidFill>
                  <a:srgbClr val="1B4332"/>
                </a:solidFill>
                <a:latin typeface="Arial"/>
              </a:rPr>
              <a:t>Total demand by product (kg)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'Dashboard'!B68</f>
            </strRef>
          </tx>
          <spPr>
            <a:ln xmlns:a="http://schemas.openxmlformats.org/drawingml/2006/main"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E6394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E5BA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A24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A261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900" b="0">
                  <a:solidFill>
                    <a:srgbClr val="52606D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'Dashboard'!$A$69:$A$73</f>
            </numRef>
          </cat>
          <val>
            <numRef>
              <f>'Dashboard'!$B$69:$B$73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C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DD8"/>
      </a:solidFill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4332"/>
                </a:solidFill>
                <a:latin typeface="Arial"/>
              </a:defRPr>
            </a:pPr>
            <a:r>
              <a:rPr sz="1200" b="1">
                <a:solidFill>
                  <a:srgbClr val="1B4332"/>
                </a:solidFill>
                <a:latin typeface="Arial"/>
              </a:rPr>
              <a:t>Stock vs reorder point – selected product (kg)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'Inventory'!C19</f>
            </strRef>
          </tx>
          <spPr>
            <a:solidFill xmlns:a="http://schemas.openxmlformats.org/drawingml/2006/main">
              <a:srgbClr val="BFD8C8"/>
            </a:solidFill>
            <a:ln xmlns:a="http://schemas.openxmlformats.org/drawingml/2006/main">
              <a:noFill/>
              <a:prstDash val="solid"/>
            </a:ln>
          </spPr>
          <cat>
            <numRef>
              <f>'Inventory'!$A$20:$A$49</f>
            </numRef>
          </cat>
          <val>
            <numRef>
              <f>'Inventory'!$C$20:$C$49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'Inventory'!B19</f>
            </strRef>
          </tx>
          <spPr>
            <a:ln xmlns:a="http://schemas.openxmlformats.org/drawingml/2006/main" w="30000">
              <a:solidFill>
                <a:srgbClr val="1B43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'Inventory'!$B$20:$B$49</f>
            </numRef>
          </val>
          <smooth val="0"/>
        </ser>
        <ser>
          <idx val="2"/>
          <order val="2"/>
          <tx>
            <strRef>
              <f>'Inventory'!D19</f>
            </strRef>
          </tx>
          <spPr>
            <a:ln xmlns:a="http://schemas.openxmlformats.org/drawingml/2006/main" w="25000">
              <a:solidFill>
                <a:srgbClr val="E76F5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'Inventory'!$D$20:$D$49</f>
            </numRef>
          </val>
          <smooth val="0"/>
        </ser>
        <ser>
          <idx val="3"/>
          <order val="3"/>
          <tx>
            <strRef>
              <f>'Inventory'!E19</f>
            </strRef>
          </tx>
          <spPr>
            <a:ln xmlns:a="http://schemas.openxmlformats.org/drawingml/2006/main" w="22000">
              <a:solidFill>
                <a:srgbClr val="C1121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'Inventory'!$E$20:$E$49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C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606D"/>
              </a:solidFill>
              <a:latin typeface="Arial"/>
            </a:defRPr>
          </a:pPr>
          <a:r>
            <a:t/>
          </a:r>
          <a:endParaRPr sz="900" b="0">
            <a:solidFill>
              <a:srgbClr val="52606D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DD8"/>
      </a:solidFill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4332"/>
                </a:solidFill>
                <a:latin typeface="Arial"/>
              </a:defRPr>
            </a:pPr>
            <a:r>
              <a:rPr sz="1200" b="1">
                <a:solidFill>
                  <a:srgbClr val="1B4332"/>
                </a:solidFill>
                <a:latin typeface="Arial"/>
              </a:rPr>
              <a:t>Average stock held vs target level (kg)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'Inventory'!O8</f>
            </strRef>
          </tx>
          <spPr>
            <a:solidFill xmlns:a="http://schemas.openxmlformats.org/drawingml/2006/main">
              <a:srgbClr val="E76F5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'Inventory'!$A$9:$A$13</f>
            </numRef>
          </cat>
          <val>
            <numRef>
              <f>'Inventory'!$O$9:$O$13</f>
            </numRef>
          </val>
        </ser>
        <ser>
          <idx val="1"/>
          <order val="1"/>
          <tx>
            <strRef>
              <f>'Inventory'!P8</f>
            </strRef>
          </tx>
          <spPr>
            <a:solidFill xmlns:a="http://schemas.openxmlformats.org/drawingml/2006/main">
              <a:srgbClr val="2D6A4F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'Inventory'!$A$9:$A$13</f>
            </numRef>
          </cat>
          <val>
            <numRef>
              <f>'Inventory'!$P$9:$P$13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C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606D"/>
              </a:solidFill>
              <a:latin typeface="Arial"/>
            </a:defRPr>
          </a:pPr>
          <a:r>
            <a:t/>
          </a:r>
          <a:endParaRPr sz="900" b="0">
            <a:solidFill>
              <a:srgbClr val="52606D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DD8"/>
      </a:solidFill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4332"/>
                </a:solidFill>
                <a:latin typeface="Arial"/>
              </a:defRPr>
            </a:pPr>
            <a:r>
              <a:rPr sz="1200" b="1">
                <a:solidFill>
                  <a:srgbClr val="1B4332"/>
                </a:solidFill>
                <a:latin typeface="Arial"/>
              </a:rPr>
              <a:t>Daily waste by product (kg) – lumps, not daily loss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'Waste'!B19</f>
            </strRef>
          </tx>
          <spPr>
            <a:solidFill xmlns:a="http://schemas.openxmlformats.org/drawingml/2006/main">
              <a:srgbClr val="E6394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'Waste'!$A$20:$A$49</f>
            </numRef>
          </cat>
          <val>
            <numRef>
              <f>'Waste'!$B$20:$B$49</f>
            </numRef>
          </val>
        </ser>
        <ser>
          <idx val="1"/>
          <order val="1"/>
          <tx>
            <strRef>
              <f>'Waste'!C19</f>
            </strRef>
          </tx>
          <spPr>
            <a:solidFill xmlns:a="http://schemas.openxmlformats.org/drawingml/2006/main">
              <a:srgbClr val="8E5BA8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'Waste'!$A$20:$A$49</f>
            </numRef>
          </cat>
          <val>
            <numRef>
              <f>'Waste'!$C$20:$C$49</f>
            </numRef>
          </val>
        </ser>
        <ser>
          <idx val="2"/>
          <order val="2"/>
          <tx>
            <strRef>
              <f>'Waste'!D19</f>
            </strRef>
          </tx>
          <spPr>
            <a:solidFill xmlns:a="http://schemas.openxmlformats.org/drawingml/2006/main">
              <a:srgbClr val="D4A24C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'Waste'!$A$20:$A$49</f>
            </numRef>
          </cat>
          <val>
            <numRef>
              <f>'Waste'!$D$20:$D$49</f>
            </numRef>
          </val>
        </ser>
        <ser>
          <idx val="3"/>
          <order val="3"/>
          <tx>
            <strRef>
              <f>'Waste'!E19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'Waste'!$A$20:$A$49</f>
            </numRef>
          </cat>
          <val>
            <numRef>
              <f>'Waste'!$E$20:$E$49</f>
            </numRef>
          </val>
        </ser>
        <ser>
          <idx val="4"/>
          <order val="4"/>
          <tx>
            <strRef>
              <f>'Waste'!F19</f>
            </strRef>
          </tx>
          <spPr>
            <a:solidFill xmlns:a="http://schemas.openxmlformats.org/drawingml/2006/main">
              <a:srgbClr val="F4A26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'Waste'!$A$20:$A$49</f>
            </numRef>
          </cat>
          <val>
            <numRef>
              <f>'Waste'!$F$20:$F$49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C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606D"/>
              </a:solidFill>
              <a:latin typeface="Arial"/>
            </a:defRPr>
          </a:pPr>
          <a:r>
            <a:t/>
          </a:r>
          <a:endParaRPr sz="900" b="0">
            <a:solidFill>
              <a:srgbClr val="52606D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DD8"/>
      </a:solidFill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4332"/>
                </a:solidFill>
                <a:latin typeface="Arial"/>
              </a:defRPr>
            </a:pPr>
            <a:r>
              <a:rPr sz="1200" b="1">
                <a:solidFill>
                  <a:srgbClr val="1B4332"/>
                </a:solidFill>
                <a:latin typeface="Arial"/>
              </a:rPr>
              <a:t>Waste as % of demand, by product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'Waste'!D8</f>
            </strRef>
          </tx>
          <spPr>
            <a:ln xmlns:a="http://schemas.openxmlformats.org/drawingml/2006/main"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E6394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E5BA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A24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A261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900" b="0">
                  <a:solidFill>
                    <a:srgbClr val="52606D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'Waste'!$A$9:$A$13</f>
            </numRef>
          </cat>
          <val>
            <numRef>
              <f>'Waste'!$D$9:$D$13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6ECE8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C9D3CD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606D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06D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DD8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12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712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712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33</row>
      <rowOff>0</rowOff>
    </from>
    <ext cx="712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50</row>
      <rowOff>0</rowOff>
    </from>
    <ext cx="712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712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R7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3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  <col width="11.3" customWidth="1" min="14" max="14"/>
    <col width="11.3" customWidth="1" min="15" max="15"/>
    <col width="11.3" customWidth="1" min="16" max="16"/>
    <col width="11.3" customWidth="1" min="17" max="17"/>
    <col width="11.3" customWidth="1" min="18" max="18"/>
  </cols>
  <sheetData>
    <row r="1" ht="40" customHeight="1">
      <c r="A1" s="1" t="inlineStr">
        <is>
          <t>Fresh Produce Supply Chain Analytics: Demand Forecasting, Inventory Optimization &amp; Waste Reduction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Manager dashboard   |   Period: 1–30 Sep 2026   |   Practice project on simulated data (not actual Fambo data)</t>
        </is>
      </c>
    </row>
    <row r="3" ht="8" customHeight="1"/>
    <row r="4" ht="20" customHeight="1">
      <c r="A4" s="4" t="inlineStr">
        <is>
          <t>TOTAL DEMAND</t>
        </is>
      </c>
      <c r="B4" s="5" t="n"/>
      <c r="C4" s="6" t="n"/>
      <c r="D4" s="4" t="inlineStr">
        <is>
          <t>FORECAST – NEXT 7 DAYS</t>
        </is>
      </c>
      <c r="E4" s="5" t="n"/>
      <c r="F4" s="6" t="n"/>
      <c r="G4" s="7" t="inlineStr">
        <is>
          <t>TOTAL WASTE</t>
        </is>
      </c>
      <c r="H4" s="5" t="n"/>
      <c r="I4" s="6" t="n"/>
      <c r="J4" s="7" t="inlineStr">
        <is>
          <t>WASTE % OF DEMAND</t>
        </is>
      </c>
      <c r="K4" s="5" t="n"/>
      <c r="L4" s="6" t="n"/>
      <c r="M4" s="8" t="inlineStr">
        <is>
          <t>AVERAGE FILL RATE</t>
        </is>
      </c>
      <c r="N4" s="5" t="n"/>
      <c r="O4" s="6" t="n"/>
      <c r="P4" s="8" t="inlineStr">
        <is>
          <t>STOCKOUT DAYS</t>
        </is>
      </c>
      <c r="Q4" s="5" t="n"/>
      <c r="R4" s="6" t="n"/>
    </row>
    <row r="5" ht="22" customHeight="1">
      <c r="A5" s="9">
        <f>SUM(Data!$D$2:$D$151)</f>
        <v>8479</v>
      </c>
      <c r="B5" s="5" t="n"/>
      <c r="C5" s="6" t="n"/>
      <c r="D5" s="9">
        <f>Demand!E10</f>
        <v>2000</v>
      </c>
      <c r="E5" s="5" t="n"/>
      <c r="F5" s="6" t="n"/>
      <c r="G5" s="10">
        <f>SUM(Data!$K$2:$K$151)</f>
        <v>1755</v>
      </c>
      <c r="H5" s="5" t="n"/>
      <c r="I5" s="6" t="n"/>
      <c r="J5" s="11">
        <f>Waste!D14</f>
        <v>0.206981955419271</v>
      </c>
      <c r="K5" s="5" t="n"/>
      <c r="L5" s="6" t="n"/>
      <c r="M5" s="12">
        <f>AVERAGE(Data!$L$2:$L$151)</f>
        <v>1</v>
      </c>
      <c r="N5" s="5" t="n"/>
      <c r="O5" s="6" t="n"/>
      <c r="P5" s="13">
        <f>SUM(Data!$P$2:$P$151)</f>
        <v>0</v>
      </c>
      <c r="Q5" s="5" t="n"/>
      <c r="R5" s="6" t="n"/>
    </row>
    <row r="6" ht="22" customHeight="1">
      <c r="A6" s="14" t="n"/>
      <c r="B6" s="5" t="n"/>
      <c r="C6" s="6" t="n"/>
      <c r="D6" s="14" t="n"/>
      <c r="E6" s="5" t="n"/>
      <c r="F6" s="6" t="n"/>
      <c r="G6" s="15" t="n"/>
      <c r="H6" s="5" t="n"/>
      <c r="I6" s="6" t="n"/>
      <c r="J6" s="15" t="n"/>
      <c r="K6" s="5" t="n"/>
      <c r="L6" s="6" t="n"/>
      <c r="M6" s="16" t="n"/>
      <c r="N6" s="5" t="n"/>
      <c r="O6" s="6" t="n"/>
      <c r="P6" s="16" t="n"/>
      <c r="Q6" s="5" t="n"/>
      <c r="R6" s="6" t="n"/>
    </row>
    <row r="7" ht="18" customHeight="1">
      <c r="A7" s="17" t="inlineStr">
        <is>
          <t>kg in 30 days</t>
        </is>
      </c>
      <c r="B7" s="5" t="n"/>
      <c r="C7" s="6" t="n"/>
      <c r="D7" s="17" t="inlineStr">
        <is>
          <t>kg expected demand</t>
        </is>
      </c>
      <c r="E7" s="5" t="n"/>
      <c r="F7" s="6" t="n"/>
      <c r="G7" s="18" t="inlineStr">
        <is>
          <t>kg expired / written off</t>
        </is>
      </c>
      <c r="H7" s="5" t="n"/>
      <c r="I7" s="6" t="n"/>
      <c r="J7" s="18" t="inlineStr">
        <is>
          <t>too high – main problem</t>
        </is>
      </c>
      <c r="K7" s="5" t="n"/>
      <c r="L7" s="6" t="n"/>
      <c r="M7" s="19" t="inlineStr">
        <is>
          <t>demand fully served</t>
        </is>
      </c>
      <c r="N7" s="5" t="n"/>
      <c r="O7" s="6" t="n"/>
      <c r="P7" s="19" t="inlineStr">
        <is>
          <t>days demand was missed</t>
        </is>
      </c>
      <c r="Q7" s="5" t="n"/>
      <c r="R7" s="6" t="n"/>
    </row>
    <row r="8" ht="8" customHeight="1"/>
    <row r="9" ht="22" customHeight="1">
      <c r="A9" s="20" t="inlineStr">
        <is>
          <t>THE 3 BUSINESS QUESTIONS – ANSWERED FROM THE DATA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22" customHeight="1">
      <c r="A10" s="22" t="inlineStr">
        <is>
          <t>1  WHAT TO ORDER?</t>
        </is>
      </c>
      <c r="B10" s="23" t="n"/>
      <c r="C10" s="23" t="n"/>
      <c r="D10" s="23" t="n"/>
      <c r="E10" s="23" t="n"/>
      <c r="F10" s="23" t="n"/>
      <c r="G10" s="24" t="inlineStr">
        <is>
          <t>2  WHEN TO ORDER?</t>
        </is>
      </c>
      <c r="H10" s="25" t="n"/>
      <c r="I10" s="25" t="n"/>
      <c r="J10" s="25" t="n"/>
      <c r="K10" s="25" t="n"/>
      <c r="L10" s="25" t="n"/>
      <c r="M10" s="26" t="inlineStr">
        <is>
          <t>3  HOW TO REDUCE WASTE?</t>
        </is>
      </c>
      <c r="N10" s="27" t="n"/>
      <c r="O10" s="27" t="n"/>
      <c r="P10" s="27" t="n"/>
      <c r="Q10" s="27" t="n"/>
      <c r="R10" s="27" t="n"/>
    </row>
    <row r="11" ht="25" customHeight="1">
      <c r="A11" s="28" t="str">
        <f>"Plan for about "&amp;TEXT(Demand!E10,"#,##0")&amp;" kg over the next 7 days. "&amp;INDEX(Demand!A5:A9,MATCH(MAX(Demand!E5:E9),Demand!E5:E9,0))&amp;" needs the most ("&amp;TEXT(MAX(Demand!E5:E9),"#,##0")&amp;" kg). In each "&amp;Inventory!B4&amp;"-day order cycle, order about "&amp;TEXT(Inventory!N14,"#,##0")&amp;" kg in total – product-wise quantities are in the scorecard below."</f>
        <v>Plan for about 2,000 kg over the next 7 days. Potato needs the most (546 kg). In each 4-day order cycle, order about 1,160 kg in total – product-wise quantities are in the scorecard below.</v>
      </c>
      <c r="B11" s="29" t="n"/>
      <c r="C11" s="29" t="n"/>
      <c r="D11" s="29" t="n"/>
      <c r="E11" s="29" t="n"/>
      <c r="F11" s="29" t="n"/>
      <c r="G11" s="28" t="str">
        <f>"Order when stock falls to the reorder point. Right now "&amp;COUNTIF(Inventory!K9:K13,"ORDER NOW")&amp;" product(s) need an order and "&amp;COUNTIF(Inventory!K9:K13,"WATCH")&amp;" are on watch. Next order is due for "&amp;INDEX(Inventory!A9:A13,MATCH(MIN(Inventory!L9:L13),Inventory!L9:L13,0))&amp;IF(MIN(Inventory!L9:L13)&lt;0.5," right now."," in about "&amp;TEXT(MIN(Inventory!L9:L13),"0.0")&amp;" day(s).")</f>
        <v>Order when stock falls to the reorder point. Right now 1 product(s) need an order and 0 are on watch. Next order is due for Capsicum right now.</v>
      </c>
      <c r="H11" s="29" t="n"/>
      <c r="I11" s="29" t="n"/>
      <c r="J11" s="29" t="n"/>
      <c r="K11" s="29" t="n"/>
      <c r="L11" s="29" t="n"/>
      <c r="M11" s="28" t="str">
        <f>"Waste is "&amp;TEXT(Waste!D14,"0.0%")&amp;" of demand ("&amp;TEXT(Waste!C14,"#,##0")&amp;" kg) while fill rate is "&amp;TEXT(AVERAGE(Data!$L$2:$L$151),"0%")&amp;" – so we hold too much stock. "&amp;INDEX(Waste!A9:A13,MATCH(MAX(Waste!C9:C13),Waste!C9:C13,0))&amp;" loses the most. Use FEFO, order smaller batches, and cut waste by "&amp;TEXT(Waste!B3,"0%")&amp;" to save about "&amp;TEXT(Waste!J14,"#,##0")&amp;" kg."</f>
        <v>Waste is 20.7% of demand (1,755 kg) while fill rate is 100% – so we hold too much stock. Onion loses the most. Use FEFO, order smaller batches, and cut waste by 50% to save about 878 kg.</v>
      </c>
      <c r="N11" s="29" t="n"/>
      <c r="O11" s="29" t="n"/>
      <c r="P11" s="29" t="n"/>
      <c r="Q11" s="29" t="n"/>
      <c r="R11" s="29" t="n"/>
    </row>
    <row r="12" ht="25" customHeight="1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</row>
    <row r="13" ht="25" customHeight="1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</row>
    <row r="14" ht="8" customHeight="1"/>
    <row r="15" ht="22" customHeight="1">
      <c r="A15" s="20" t="inlineStr">
        <is>
          <t>1 · DEMAND &amp; FORECAST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</row>
    <row r="32" ht="22" customHeight="1">
      <c r="A32" s="20" t="inlineStr">
        <is>
          <t>2 · INVENTORY &amp; REORDER POINT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</row>
    <row r="33" ht="24" customHeight="1">
      <c r="A33" s="30" t="inlineStr">
        <is>
          <t>Pick a product for the stock chart  ▶</t>
        </is>
      </c>
      <c r="D33" s="31" t="inlineStr">
        <is>
          <t>Tomato</t>
        </is>
      </c>
      <c r="E33" s="32" t="n"/>
      <c r="F33" s="33" t="inlineStr">
        <is>
          <t>(click the yellow cell and choose from the dropdown)</t>
        </is>
      </c>
    </row>
    <row r="50" ht="22" customHeight="1">
      <c r="A50" s="20" t="inlineStr">
        <is>
          <t>3 · WASTE &amp; EXPIRY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</row>
    <row r="67" ht="22" customHeight="1">
      <c r="A67" s="20" t="inlineStr">
        <is>
          <t>PRODUCT SCORECARD</t>
        </is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</row>
    <row r="68" ht="48" customHeight="1">
      <c r="A68" s="34" t="inlineStr">
        <is>
          <t>Product</t>
        </is>
      </c>
      <c r="B68" s="34" t="inlineStr">
        <is>
          <t>Demand (kg)</t>
        </is>
      </c>
      <c r="C68" s="34" t="inlineStr">
        <is>
          <t>Avg demand / day (kg)</t>
        </is>
      </c>
      <c r="D68" s="34" t="inlineStr">
        <is>
          <t>Forecast next 7 days (kg)</t>
        </is>
      </c>
      <c r="E68" s="34" t="inlineStr">
        <is>
          <t>Forecast accuracy</t>
        </is>
      </c>
      <c r="F68" s="34" t="inlineStr">
        <is>
          <t>Reorder point (kg)</t>
        </is>
      </c>
      <c r="G68" s="34" t="inlineStr">
        <is>
          <t>Stock now (kg)</t>
        </is>
      </c>
      <c r="H68" s="34" t="inlineStr">
        <is>
          <t>Days of cover</t>
        </is>
      </c>
      <c r="I68" s="34" t="inlineStr">
        <is>
          <t>Stock status</t>
        </is>
      </c>
      <c r="J68" s="34" t="inlineStr">
        <is>
          <t>Suggested order qty (kg)</t>
        </is>
      </c>
      <c r="K68" s="34" t="inlineStr">
        <is>
          <t>Next order date</t>
        </is>
      </c>
      <c r="L68" s="34" t="inlineStr">
        <is>
          <t>Waste (kg)</t>
        </is>
      </c>
      <c r="M68" s="34" t="inlineStr">
        <is>
          <t>Waste % of demand</t>
        </is>
      </c>
      <c r="N68" s="34" t="inlineStr">
        <is>
          <t>Fill rate</t>
        </is>
      </c>
      <c r="O68" s="34" t="inlineStr">
        <is>
          <t>Stockout days</t>
        </is>
      </c>
      <c r="P68" s="34" t="inlineStr">
        <is>
          <t>Excess stock (kg)</t>
        </is>
      </c>
      <c r="Q68" s="34" t="inlineStr">
        <is>
          <t>Est. waste value (₹)</t>
        </is>
      </c>
      <c r="R68" s="34" t="inlineStr">
        <is>
          <t>Avg stock held (kg)</t>
        </is>
      </c>
    </row>
    <row r="69">
      <c r="A69" s="35" t="str">
        <f>Inventory!A9</f>
        <v>Tomato</v>
      </c>
      <c r="B69" s="36">
        <f>Waste!B9</f>
        <v>1817</v>
      </c>
      <c r="C69" s="37">
        <f>Inventory!B9</f>
        <v>60.5666666666667</v>
      </c>
      <c r="D69" s="36">
        <f>Demand!E5</f>
        <v>449</v>
      </c>
      <c r="E69" s="38">
        <f>Demand!I5</f>
        <v>0.834838384445725</v>
      </c>
      <c r="F69" s="36">
        <f>Inventory!G9</f>
        <v>211</v>
      </c>
      <c r="G69" s="36">
        <f>Inventory!I9</f>
        <v>349</v>
      </c>
      <c r="H69" s="39">
        <f>Inventory!J9</f>
        <v>5.76224545954871</v>
      </c>
      <c r="I69" s="40" t="str">
        <f>Inventory!K9</f>
        <v>OK</v>
      </c>
      <c r="J69" s="36">
        <f>Inventory!N9</f>
        <v>250</v>
      </c>
      <c r="K69" s="41">
        <f>Inventory!M9</f>
        <v>46297.0</v>
      </c>
      <c r="L69" s="36">
        <f>Waste!C9</f>
        <v>374</v>
      </c>
      <c r="M69" s="38">
        <f>Waste!D9</f>
        <v>0.205833791964777</v>
      </c>
      <c r="N69" s="42">
        <f>Inventory!S9</f>
        <v>1</v>
      </c>
      <c r="O69" s="43">
        <f>Inventory!R9</f>
        <v>0</v>
      </c>
      <c r="P69" s="36">
        <f>Inventory!Q9</f>
        <v>163.9</v>
      </c>
      <c r="Q69" s="36">
        <f>Waste!I9</f>
        <v>9350</v>
      </c>
      <c r="R69" s="36">
        <f>Inventory!O9</f>
        <v>317.9</v>
      </c>
    </row>
    <row r="70">
      <c r="A70" s="44" t="str">
        <f>Inventory!A10</f>
        <v>Onion</v>
      </c>
      <c r="B70" s="36">
        <f>Waste!B10</f>
        <v>2184</v>
      </c>
      <c r="C70" s="37">
        <f>Inventory!B10</f>
        <v>72.8</v>
      </c>
      <c r="D70" s="36">
        <f>Demand!E6</f>
        <v>503</v>
      </c>
      <c r="E70" s="38">
        <f>Demand!I6</f>
        <v>0.861552931387904</v>
      </c>
      <c r="F70" s="36">
        <f>Inventory!G10</f>
        <v>325</v>
      </c>
      <c r="G70" s="36">
        <f>Inventory!I10</f>
        <v>584</v>
      </c>
      <c r="H70" s="39">
        <f>Inventory!J10</f>
        <v>8.02197802197802</v>
      </c>
      <c r="I70" s="40" t="str">
        <f>Inventory!K10</f>
        <v>OK</v>
      </c>
      <c r="J70" s="36">
        <f>Inventory!N10</f>
        <v>300</v>
      </c>
      <c r="K70" s="41">
        <f>Inventory!M10</f>
        <v>46298.0</v>
      </c>
      <c r="L70" s="36">
        <f>Waste!C10</f>
        <v>485</v>
      </c>
      <c r="M70" s="38">
        <f>Waste!D10</f>
        <v>0.222069597069597</v>
      </c>
      <c r="N70" s="42">
        <f>Inventory!S10</f>
        <v>1</v>
      </c>
      <c r="O70" s="43">
        <f>Inventory!R10</f>
        <v>0</v>
      </c>
      <c r="P70" s="36">
        <f>Inventory!Q10</f>
        <v>316.833333333333</v>
      </c>
      <c r="Q70" s="36">
        <f>Waste!I10</f>
        <v>14550</v>
      </c>
      <c r="R70" s="36">
        <f>Inventory!O10</f>
        <v>500.833333333333</v>
      </c>
    </row>
    <row r="71">
      <c r="A71" s="45" t="str">
        <f>Inventory!A11</f>
        <v>Potato</v>
      </c>
      <c r="B71" s="36">
        <f>Waste!B11</f>
        <v>2371</v>
      </c>
      <c r="C71" s="37">
        <f>Inventory!B11</f>
        <v>79.0333333333333</v>
      </c>
      <c r="D71" s="36">
        <f>Demand!E7</f>
        <v>546</v>
      </c>
      <c r="E71" s="38">
        <f>Demand!I7</f>
        <v>0.807657342725874</v>
      </c>
      <c r="F71" s="36">
        <f>Inventory!G11</f>
        <v>363</v>
      </c>
      <c r="G71" s="36">
        <f>Inventory!I11</f>
        <v>745</v>
      </c>
      <c r="H71" s="39">
        <f>Inventory!J11</f>
        <v>9.42640236187263</v>
      </c>
      <c r="I71" s="40" t="str">
        <f>Inventory!K11</f>
        <v>OK</v>
      </c>
      <c r="J71" s="36">
        <f>Inventory!N11</f>
        <v>320</v>
      </c>
      <c r="K71" s="41">
        <f>Inventory!M11</f>
        <v>46299.0</v>
      </c>
      <c r="L71" s="36">
        <f>Waste!C11</f>
        <v>461</v>
      </c>
      <c r="M71" s="38">
        <f>Waste!D11</f>
        <v>0.194432728806411</v>
      </c>
      <c r="N71" s="42">
        <f>Inventory!S11</f>
        <v>1</v>
      </c>
      <c r="O71" s="43">
        <f>Inventory!R11</f>
        <v>0</v>
      </c>
      <c r="P71" s="36">
        <f>Inventory!Q11</f>
        <v>343.166666666667</v>
      </c>
      <c r="Q71" s="36">
        <f>Waste!I11</f>
        <v>10142</v>
      </c>
      <c r="R71" s="36">
        <f>Inventory!O11</f>
        <v>550.166666666667</v>
      </c>
    </row>
    <row r="72">
      <c r="A72" s="46" t="str">
        <f>Inventory!A12</f>
        <v>Cucumber</v>
      </c>
      <c r="B72" s="36">
        <f>Waste!B12</f>
        <v>1187</v>
      </c>
      <c r="C72" s="37">
        <f>Inventory!B12</f>
        <v>39.5666666666667</v>
      </c>
      <c r="D72" s="36">
        <f>Demand!E8</f>
        <v>307</v>
      </c>
      <c r="E72" s="38">
        <f>Demand!I8</f>
        <v>0.846521986950696</v>
      </c>
      <c r="F72" s="36">
        <f>Inventory!G12</f>
        <v>95</v>
      </c>
      <c r="G72" s="36">
        <f>Inventory!I12</f>
        <v>129</v>
      </c>
      <c r="H72" s="39">
        <f>Inventory!J12</f>
        <v>3.2603201347936</v>
      </c>
      <c r="I72" s="40" t="str">
        <f>Inventory!K12</f>
        <v>OK</v>
      </c>
      <c r="J72" s="36">
        <f>Inventory!N12</f>
        <v>160</v>
      </c>
      <c r="K72" s="41">
        <f>Inventory!M12</f>
        <v>46295.0</v>
      </c>
      <c r="L72" s="36">
        <f>Waste!C12</f>
        <v>239</v>
      </c>
      <c r="M72" s="38">
        <f>Waste!D12</f>
        <v>0.201347935973041</v>
      </c>
      <c r="N72" s="42">
        <f>Inventory!S12</f>
        <v>1</v>
      </c>
      <c r="O72" s="43">
        <f>Inventory!R12</f>
        <v>0</v>
      </c>
      <c r="P72" s="36">
        <f>Inventory!Q12</f>
        <v>44.1</v>
      </c>
      <c r="Q72" s="36">
        <f>Waste!I12</f>
        <v>6692</v>
      </c>
      <c r="R72" s="36">
        <f>Inventory!O12</f>
        <v>140.1</v>
      </c>
    </row>
    <row r="73">
      <c r="A73" s="47" t="str">
        <f>Inventory!A13</f>
        <v>Capsicum</v>
      </c>
      <c r="B73" s="36">
        <f>Waste!B13</f>
        <v>920</v>
      </c>
      <c r="C73" s="37">
        <f>Inventory!B13</f>
        <v>30.6666666666667</v>
      </c>
      <c r="D73" s="36">
        <f>Demand!E9</f>
        <v>195</v>
      </c>
      <c r="E73" s="38">
        <f>Demand!I9</f>
        <v>0.834463252864938</v>
      </c>
      <c r="F73" s="36">
        <f>Inventory!G13</f>
        <v>106</v>
      </c>
      <c r="G73" s="36">
        <f>Inventory!I13</f>
        <v>87</v>
      </c>
      <c r="H73" s="39">
        <f>Inventory!J13</f>
        <v>2.83695652173913</v>
      </c>
      <c r="I73" s="40" t="str">
        <f>Inventory!K13</f>
        <v>ORDER NOW</v>
      </c>
      <c r="J73" s="36">
        <f>Inventory!N13</f>
        <v>130</v>
      </c>
      <c r="K73" s="41">
        <f>Inventory!M13</f>
        <v>46295.0</v>
      </c>
      <c r="L73" s="36">
        <f>Waste!C13</f>
        <v>196</v>
      </c>
      <c r="M73" s="38">
        <f>Waste!D13</f>
        <v>0.21304347826087</v>
      </c>
      <c r="N73" s="42">
        <f>Inventory!S13</f>
        <v>1</v>
      </c>
      <c r="O73" s="43">
        <f>Inventory!R13</f>
        <v>0</v>
      </c>
      <c r="P73" s="36">
        <f>Inventory!Q13</f>
        <v>81.8</v>
      </c>
      <c r="Q73" s="36">
        <f>Waste!I13</f>
        <v>8820</v>
      </c>
      <c r="R73" s="36">
        <f>Inventory!O13</f>
        <v>160.8</v>
      </c>
    </row>
    <row r="74">
      <c r="A74" s="48" t="inlineStr">
        <is>
          <t>Total</t>
        </is>
      </c>
      <c r="B74" s="49">
        <f>SUM(B69:B73)</f>
        <v>8479</v>
      </c>
      <c r="C74" s="50">
        <f>SUM(C69:C73)</f>
        <v>282.633333333333</v>
      </c>
      <c r="D74" s="49">
        <f>SUM(D69:D73)</f>
        <v>2000</v>
      </c>
      <c r="E74" s="51">
        <f>Demand!I10</f>
        <v>0.925638267603881</v>
      </c>
      <c r="F74" s="49">
        <f>SUM(F69:F73)</f>
        <v>1100</v>
      </c>
      <c r="G74" s="49">
        <f>SUM(G69:G73)</f>
        <v>1894</v>
      </c>
      <c r="H74" s="52">
        <f>G74/C74</f>
        <v>6.70126194126666</v>
      </c>
      <c r="I74" s="53" t="inlineStr"/>
      <c r="J74" s="49">
        <f>SUM(J69:J73)</f>
        <v>1160</v>
      </c>
      <c r="K74" s="54" t="inlineStr"/>
      <c r="L74" s="49">
        <f>SUM(L69:L73)</f>
        <v>1755</v>
      </c>
      <c r="M74" s="51">
        <f>L74/B74</f>
        <v>0.206981955419271</v>
      </c>
      <c r="N74" s="55">
        <f>AVERAGE(N69:N73)</f>
        <v>1</v>
      </c>
      <c r="O74" s="56">
        <f>SUM(O69:O73)</f>
        <v>0</v>
      </c>
      <c r="P74" s="49">
        <f>SUM(P69:P73)</f>
        <v>949.8</v>
      </c>
      <c r="Q74" s="49">
        <f>SUM(Q69:Q73)</f>
        <v>49554</v>
      </c>
      <c r="R74" s="49">
        <f>SUM(R69:R73)</f>
        <v>1669.8</v>
      </c>
    </row>
    <row r="76">
      <c r="A76" s="33" t="inlineStr">
        <is>
          <t>Method: forecast = 7-day moving average · safety stock = Z × std. dev. × √lead time (95% service level) · reorder point = avg demand × lead time + safety stock · prices used for waste value are assumptions. See the ReadMe tab.</t>
        </is>
      </c>
    </row>
  </sheetData>
  <mergeCells count="34">
    <mergeCell ref="A11:F13"/>
    <mergeCell ref="M11:R13"/>
    <mergeCell ref="G10:L10"/>
    <mergeCell ref="D5:F6"/>
    <mergeCell ref="M10:R10"/>
    <mergeCell ref="P5:R6"/>
    <mergeCell ref="J5:L6"/>
    <mergeCell ref="M7:O7"/>
    <mergeCell ref="J4:L4"/>
    <mergeCell ref="D7:F7"/>
    <mergeCell ref="G11:L13"/>
    <mergeCell ref="A50:R50"/>
    <mergeCell ref="J7:L7"/>
    <mergeCell ref="P7:R7"/>
    <mergeCell ref="A33:C33"/>
    <mergeCell ref="A2:R2"/>
    <mergeCell ref="D4:F4"/>
    <mergeCell ref="A32:R32"/>
    <mergeCell ref="M5:O6"/>
    <mergeCell ref="A76:R76"/>
    <mergeCell ref="G4:I4"/>
    <mergeCell ref="A4:C4"/>
    <mergeCell ref="A10:F10"/>
    <mergeCell ref="M4:O4"/>
    <mergeCell ref="A9:R9"/>
    <mergeCell ref="A67:R67"/>
    <mergeCell ref="P4:R4"/>
    <mergeCell ref="A15:R15"/>
    <mergeCell ref="D33:E33"/>
    <mergeCell ref="A5:C6"/>
    <mergeCell ref="G5:I6"/>
    <mergeCell ref="A1:R1"/>
    <mergeCell ref="A7:C7"/>
    <mergeCell ref="G7:I7"/>
  </mergeCells>
  <conditionalFormatting sqref="I69:I73">
    <cfRule type="cellIs" priority="1" operator="equal" dxfId="0">
      <formula>"ORDER NOW"</formula>
    </cfRule>
    <cfRule type="cellIs" priority="2" operator="equal" dxfId="1">
      <formula>"WATCH"</formula>
    </cfRule>
    <cfRule type="cellIs" priority="3" operator="equal" dxfId="2">
      <formula>"OK"</formula>
    </cfRule>
  </conditionalFormatting>
  <conditionalFormatting sqref="M69:M73">
    <cfRule type="dataBar" priority="4">
      <dataBar>
        <cfvo type="num" val="0"/>
        <cfvo type="max"/>
        <color rgb="00E76F51"/>
      </dataBar>
    </cfRule>
  </conditionalFormatting>
  <dataValidations count="1">
    <dataValidation sqref="D33" showDropDown="0" showInputMessage="0" showErrorMessage="0" allowBlank="0" error="Choose a product from the list" type="list">
      <formula1>"Tomato,Onion,Potato,Cucumber,Capsicum"</formula1>
    </dataValidation>
  </dataValidations>
  <pageMargins left="0.75" right="0.75" top="1" bottom="1" header="0.5" footer="0.5"/>
  <pageSetup orientation="landscape" fitToHeight="0" fitToWidth="1"/>
  <rowBreaks count="1" manualBreakCount="1">
    <brk id="49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N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4" customHeight="1">
      <c r="A1" s="57" t="inlineStr">
        <is>
          <t>1 · Demand Analysis &amp;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Forecast method: average of the previous 7 days (simple moving average). Accuracy is checked by testing the method on the past 23 days.</t>
        </is>
      </c>
    </row>
    <row r="3" ht="22" customHeight="1">
      <c r="A3" s="20" t="inlineStr">
        <is>
          <t>Forecast summary (kg)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</row>
    <row r="4" ht="46" customHeight="1">
      <c r="A4" s="34" t="inlineStr">
        <is>
          <t>Product</t>
        </is>
      </c>
      <c r="B4" s="34" t="inlineStr">
        <is>
          <t>Avg demand / day (30 days)</t>
        </is>
      </c>
      <c r="C4" s="34" t="inlineStr">
        <is>
          <t>Last 7-day avg / day</t>
        </is>
      </c>
      <c r="D4" s="34" t="inlineStr">
        <is>
          <t>Trend vs 30-day avg</t>
        </is>
      </c>
      <c r="E4" s="34" t="inlineStr">
        <is>
          <t>Forecast next 7 days (kg)</t>
        </is>
      </c>
      <c r="F4" s="34" t="inlineStr">
        <is>
          <t>Forecast next 14 days (kg)</t>
        </is>
      </c>
      <c r="G4" s="34" t="inlineStr">
        <is>
          <t>Peak day demand (kg)</t>
        </is>
      </c>
      <c r="H4" s="34" t="inlineStr">
        <is>
          <t>Forecast error (MAPE)</t>
        </is>
      </c>
      <c r="I4" s="34" t="inlineStr">
        <is>
          <t>Forecast accuracy</t>
        </is>
      </c>
    </row>
    <row r="5">
      <c r="A5" s="58" t="inlineStr">
        <is>
          <t>Tomato</t>
        </is>
      </c>
      <c r="B5" s="37">
        <f>AVERAGE(INDEX($B$15:$F$44,0,MATCH($A5,$B$14:$F$14,0)))</f>
        <v>60.5666666666667</v>
      </c>
      <c r="C5" s="37">
        <f>AVERAGE(INDEX($B$38:$F$44,0,MATCH($A5,$B$14:$F$14,0)))</f>
        <v>64.1428571428571</v>
      </c>
      <c r="D5" s="59">
        <f>C5/B5-1</f>
        <v>0.059045522446733</v>
      </c>
      <c r="E5" s="36">
        <f>C5*7</f>
        <v>449</v>
      </c>
      <c r="F5" s="36">
        <f>C5*14</f>
        <v>898</v>
      </c>
      <c r="G5" s="36">
        <f>MAX(INDEX($B$15:$F$44,0,MATCH($A5,$B$14:$F$14,0)))</f>
        <v>76</v>
      </c>
      <c r="H5" s="38">
        <f>SUMPRODUCT(ABS(INDEX($B$22:$F$44,0,MATCH($A5,$B$14:$F$14,0))-INDEX($J$22:$N$44,0,MATCH($A5,$B$14:$F$14,0)))/INDEX($B$22:$F$44,0,MATCH($A5,$B$14:$F$14,0)))/ROWS($B$22:$B$44)</f>
        <v>0.165161615554275</v>
      </c>
      <c r="I5" s="38">
        <f>1-H5</f>
        <v>0.834838384445725</v>
      </c>
    </row>
    <row r="6">
      <c r="A6" s="58" t="inlineStr">
        <is>
          <t>Onion</t>
        </is>
      </c>
      <c r="B6" s="37">
        <f>AVERAGE(INDEX($B$15:$F$44,0,MATCH($A6,$B$14:$F$14,0)))</f>
        <v>72.8</v>
      </c>
      <c r="C6" s="37">
        <f>AVERAGE(INDEX($B$38:$F$44,0,MATCH($A6,$B$14:$F$14,0)))</f>
        <v>71.8571428571429</v>
      </c>
      <c r="D6" s="59">
        <f>C6/B6-1</f>
        <v>-0.0129513343799057</v>
      </c>
      <c r="E6" s="36">
        <f>C6*7</f>
        <v>503</v>
      </c>
      <c r="F6" s="36">
        <f>C6*14</f>
        <v>1006</v>
      </c>
      <c r="G6" s="36">
        <f>MAX(INDEX($B$15:$F$44,0,MATCH($A6,$B$14:$F$14,0)))</f>
        <v>91</v>
      </c>
      <c r="H6" s="38">
        <f>SUMPRODUCT(ABS(INDEX($B$22:$F$44,0,MATCH($A6,$B$14:$F$14,0))-INDEX($J$22:$N$44,0,MATCH($A6,$B$14:$F$14,0)))/INDEX($B$22:$F$44,0,MATCH($A6,$B$14:$F$14,0)))/ROWS($B$22:$B$44)</f>
        <v>0.138447068612096</v>
      </c>
      <c r="I6" s="38">
        <f>1-H6</f>
        <v>0.861552931387904</v>
      </c>
    </row>
    <row r="7">
      <c r="A7" s="58" t="inlineStr">
        <is>
          <t>Potato</t>
        </is>
      </c>
      <c r="B7" s="37">
        <f>AVERAGE(INDEX($B$15:$F$44,0,MATCH($A7,$B$14:$F$14,0)))</f>
        <v>79.0333333333333</v>
      </c>
      <c r="C7" s="37">
        <f>AVERAGE(INDEX($B$38:$F$44,0,MATCH($A7,$B$14:$F$14,0)))</f>
        <v>78</v>
      </c>
      <c r="D7" s="59">
        <f>C7/B7-1</f>
        <v>-0.0130746520455504</v>
      </c>
      <c r="E7" s="36">
        <f>C7*7</f>
        <v>546</v>
      </c>
      <c r="F7" s="36">
        <f>C7*14</f>
        <v>1092</v>
      </c>
      <c r="G7" s="36">
        <f>MAX(INDEX($B$15:$F$44,0,MATCH($A7,$B$14:$F$14,0)))</f>
        <v>104</v>
      </c>
      <c r="H7" s="38">
        <f>SUMPRODUCT(ABS(INDEX($B$22:$F$44,0,MATCH($A7,$B$14:$F$14,0))-INDEX($J$22:$N$44,0,MATCH($A7,$B$14:$F$14,0)))/INDEX($B$22:$F$44,0,MATCH($A7,$B$14:$F$14,0)))/ROWS($B$22:$B$44)</f>
        <v>0.192342657274126</v>
      </c>
      <c r="I7" s="38">
        <f>1-H7</f>
        <v>0.807657342725874</v>
      </c>
    </row>
    <row r="8">
      <c r="A8" s="58" t="inlineStr">
        <is>
          <t>Cucumber</t>
        </is>
      </c>
      <c r="B8" s="37">
        <f>AVERAGE(INDEX($B$15:$F$44,0,MATCH($A8,$B$14:$F$14,0)))</f>
        <v>39.5666666666667</v>
      </c>
      <c r="C8" s="37">
        <f>AVERAGE(INDEX($B$38:$F$44,0,MATCH($A8,$B$14:$F$14,0)))</f>
        <v>43.8571428571429</v>
      </c>
      <c r="D8" s="59">
        <f>C8/B8-1</f>
        <v>0.108436634974124</v>
      </c>
      <c r="E8" s="36">
        <f>C8*7</f>
        <v>307</v>
      </c>
      <c r="F8" s="36">
        <f>C8*14</f>
        <v>614</v>
      </c>
      <c r="G8" s="36">
        <f>MAX(INDEX($B$15:$F$44,0,MATCH($A8,$B$14:$F$14,0)))</f>
        <v>50</v>
      </c>
      <c r="H8" s="38">
        <f>SUMPRODUCT(ABS(INDEX($B$22:$F$44,0,MATCH($A8,$B$14:$F$14,0))-INDEX($J$22:$N$44,0,MATCH($A8,$B$14:$F$14,0)))/INDEX($B$22:$F$44,0,MATCH($A8,$B$14:$F$14,0)))/ROWS($B$22:$B$44)</f>
        <v>0.153478013049304</v>
      </c>
      <c r="I8" s="38">
        <f>1-H8</f>
        <v>0.846521986950696</v>
      </c>
    </row>
    <row r="9">
      <c r="A9" s="58" t="inlineStr">
        <is>
          <t>Capsicum</t>
        </is>
      </c>
      <c r="B9" s="37">
        <f>AVERAGE(INDEX($B$15:$F$44,0,MATCH($A9,$B$14:$F$14,0)))</f>
        <v>30.6666666666667</v>
      </c>
      <c r="C9" s="37">
        <f>AVERAGE(INDEX($B$38:$F$44,0,MATCH($A9,$B$14:$F$14,0)))</f>
        <v>27.8571428571429</v>
      </c>
      <c r="D9" s="59">
        <f>C9/B9-1</f>
        <v>-0.0916149068322981</v>
      </c>
      <c r="E9" s="36">
        <f>C9*7</f>
        <v>195</v>
      </c>
      <c r="F9" s="36">
        <f>C9*14</f>
        <v>390</v>
      </c>
      <c r="G9" s="36">
        <f>MAX(INDEX($B$15:$F$44,0,MATCH($A9,$B$14:$F$14,0)))</f>
        <v>39</v>
      </c>
      <c r="H9" s="38">
        <f>SUMPRODUCT(ABS(INDEX($B$22:$F$44,0,MATCH($A9,$B$14:$F$14,0))-INDEX($J$22:$N$44,0,MATCH($A9,$B$14:$F$14,0)))/INDEX($B$22:$F$44,0,MATCH($A9,$B$14:$F$14,0)))/ROWS($B$22:$B$44)</f>
        <v>0.165536747135062</v>
      </c>
      <c r="I9" s="38">
        <f>1-H9</f>
        <v>0.834463252864938</v>
      </c>
    </row>
    <row r="10">
      <c r="A10" s="48" t="inlineStr">
        <is>
          <t>Total</t>
        </is>
      </c>
      <c r="B10" s="50">
        <f>SUM(B5:B9)</f>
        <v>282.633333333333</v>
      </c>
      <c r="C10" s="50">
        <f>SUM(C5:C9)</f>
        <v>285.714285714286</v>
      </c>
      <c r="D10" s="60">
        <f>C10/B10-1</f>
        <v>0.0109008811686013</v>
      </c>
      <c r="E10" s="49">
        <f>SUM(E5:E9)</f>
        <v>2000</v>
      </c>
      <c r="F10" s="49">
        <f>SUM(F5:F9)</f>
        <v>4000</v>
      </c>
      <c r="G10" s="49">
        <f>MAX(G15:G44)</f>
        <v>333</v>
      </c>
      <c r="H10" s="51">
        <f>SUMPRODUCT(ABS(G22:G44-H22:H44)/G22:G44)/ROWS(G22:G44)</f>
        <v>0.074361732396119</v>
      </c>
      <c r="I10" s="51">
        <f>1-H10</f>
        <v>0.925638267603881</v>
      </c>
    </row>
    <row r="11">
      <c r="A11" s="33" t="inlineStr">
        <is>
          <t>MAPE = average % gap between forecast and actual demand (lower is better). Accuracy = 1 - MAPE.</t>
        </is>
      </c>
    </row>
    <row r="13" ht="22" customHeight="1">
      <c r="A13" s="20" t="inlineStr">
        <is>
          <t>Daily demand (kg) and forecast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</row>
    <row r="14" ht="34" customHeight="1">
      <c r="A14" s="34" t="inlineStr">
        <is>
          <t>Date</t>
        </is>
      </c>
      <c r="B14" s="34" t="inlineStr">
        <is>
          <t>Tomato</t>
        </is>
      </c>
      <c r="C14" s="34" t="inlineStr">
        <is>
          <t>Onion</t>
        </is>
      </c>
      <c r="D14" s="34" t="inlineStr">
        <is>
          <t>Potato</t>
        </is>
      </c>
      <c r="E14" s="34" t="inlineStr">
        <is>
          <t>Cucumber</t>
        </is>
      </c>
      <c r="F14" s="34" t="inlineStr">
        <is>
          <t>Capsicum</t>
        </is>
      </c>
      <c r="G14" s="34" t="inlineStr">
        <is>
          <t>Total actual (kg)</t>
        </is>
      </c>
      <c r="H14" s="34" t="inlineStr">
        <is>
          <t>Total forecast (kg)</t>
        </is>
      </c>
      <c r="I14" s="61" t="inlineStr"/>
      <c r="J14" s="34" t="inlineStr">
        <is>
          <t>Tomato forecast</t>
        </is>
      </c>
      <c r="K14" s="34" t="inlineStr">
        <is>
          <t>Onion forecast</t>
        </is>
      </c>
      <c r="L14" s="34" t="inlineStr">
        <is>
          <t>Potato forecast</t>
        </is>
      </c>
      <c r="M14" s="34" t="inlineStr">
        <is>
          <t>Cucumber forecast</t>
        </is>
      </c>
      <c r="N14" s="34" t="inlineStr">
        <is>
          <t>Capsicum forecast</t>
        </is>
      </c>
    </row>
    <row r="15">
      <c r="A15" s="41">
        <f>MIN(Data!$A$2:$A$151)</f>
        <v>46266.0</v>
      </c>
      <c r="B15" s="36">
        <f>SUMIFS(Data!$D$2:$D$151,Data!$B$2:$B$151,B$14,Data!$A$2:$A$151,$A15)</f>
        <v>48</v>
      </c>
      <c r="C15" s="36">
        <f>SUMIFS(Data!$D$2:$D$151,Data!$B$2:$B$151,C$14,Data!$A$2:$A$151,$A15)</f>
        <v>80</v>
      </c>
      <c r="D15" s="36">
        <f>SUMIFS(Data!$D$2:$D$151,Data!$B$2:$B$151,D$14,Data!$A$2:$A$151,$A15)</f>
        <v>74</v>
      </c>
      <c r="E15" s="36">
        <f>SUMIFS(Data!$D$2:$D$151,Data!$B$2:$B$151,E$14,Data!$A$2:$A$151,$A15)</f>
        <v>32</v>
      </c>
      <c r="F15" s="36">
        <f>SUMIFS(Data!$D$2:$D$151,Data!$B$2:$B$151,F$14,Data!$A$2:$A$151,$A15)</f>
        <v>30</v>
      </c>
      <c r="G15" s="62">
        <f>SUM(B15:F15)</f>
        <v>264</v>
      </c>
      <c r="H15" s="63" t="n"/>
    </row>
    <row r="16">
      <c r="A16" s="41">
        <f>A15+1</f>
        <v>46267.0</v>
      </c>
      <c r="B16" s="36">
        <f>SUMIFS(Data!$D$2:$D$151,Data!$B$2:$B$151,B$14,Data!$A$2:$A$151,$A16)</f>
        <v>59</v>
      </c>
      <c r="C16" s="36">
        <f>SUMIFS(Data!$D$2:$D$151,Data!$B$2:$B$151,C$14,Data!$A$2:$A$151,$A16)</f>
        <v>73</v>
      </c>
      <c r="D16" s="36">
        <f>SUMIFS(Data!$D$2:$D$151,Data!$B$2:$B$151,D$14,Data!$A$2:$A$151,$A16)</f>
        <v>80</v>
      </c>
      <c r="E16" s="36">
        <f>SUMIFS(Data!$D$2:$D$151,Data!$B$2:$B$151,E$14,Data!$A$2:$A$151,$A16)</f>
        <v>33</v>
      </c>
      <c r="F16" s="36">
        <f>SUMIFS(Data!$D$2:$D$151,Data!$B$2:$B$151,F$14,Data!$A$2:$A$151,$A16)</f>
        <v>26</v>
      </c>
      <c r="G16" s="62">
        <f>SUM(B16:F16)</f>
        <v>271</v>
      </c>
      <c r="H16" s="63" t="n"/>
    </row>
    <row r="17">
      <c r="A17" s="41">
        <f>A16+1</f>
        <v>46268.0</v>
      </c>
      <c r="B17" s="36">
        <f>SUMIFS(Data!$D$2:$D$151,Data!$B$2:$B$151,B$14,Data!$A$2:$A$151,$A17)</f>
        <v>66</v>
      </c>
      <c r="C17" s="36">
        <f>SUMIFS(Data!$D$2:$D$151,Data!$B$2:$B$151,C$14,Data!$A$2:$A$151,$A17)</f>
        <v>66</v>
      </c>
      <c r="D17" s="36">
        <f>SUMIFS(Data!$D$2:$D$151,Data!$B$2:$B$151,D$14,Data!$A$2:$A$151,$A17)</f>
        <v>90</v>
      </c>
      <c r="E17" s="36">
        <f>SUMIFS(Data!$D$2:$D$151,Data!$B$2:$B$151,E$14,Data!$A$2:$A$151,$A17)</f>
        <v>45</v>
      </c>
      <c r="F17" s="36">
        <f>SUMIFS(Data!$D$2:$D$151,Data!$B$2:$B$151,F$14,Data!$A$2:$A$151,$A17)</f>
        <v>37</v>
      </c>
      <c r="G17" s="62">
        <f>SUM(B17:F17)</f>
        <v>304</v>
      </c>
      <c r="H17" s="63" t="n"/>
    </row>
    <row r="18">
      <c r="A18" s="41">
        <f>A17+1</f>
        <v>46269.0</v>
      </c>
      <c r="B18" s="36">
        <f>SUMIFS(Data!$D$2:$D$151,Data!$B$2:$B$151,B$14,Data!$A$2:$A$151,$A18)</f>
        <v>75</v>
      </c>
      <c r="C18" s="36">
        <f>SUMIFS(Data!$D$2:$D$151,Data!$B$2:$B$151,C$14,Data!$A$2:$A$151,$A18)</f>
        <v>62</v>
      </c>
      <c r="D18" s="36">
        <f>SUMIFS(Data!$D$2:$D$151,Data!$B$2:$B$151,D$14,Data!$A$2:$A$151,$A18)</f>
        <v>69</v>
      </c>
      <c r="E18" s="36">
        <f>SUMIFS(Data!$D$2:$D$151,Data!$B$2:$B$151,E$14,Data!$A$2:$A$151,$A18)</f>
        <v>44</v>
      </c>
      <c r="F18" s="36">
        <f>SUMIFS(Data!$D$2:$D$151,Data!$B$2:$B$151,F$14,Data!$A$2:$A$151,$A18)</f>
        <v>32</v>
      </c>
      <c r="G18" s="62">
        <f>SUM(B18:F18)</f>
        <v>282</v>
      </c>
      <c r="H18" s="63" t="n"/>
    </row>
    <row r="19">
      <c r="A19" s="41">
        <f>A18+1</f>
        <v>46270.0</v>
      </c>
      <c r="B19" s="36">
        <f>SUMIFS(Data!$D$2:$D$151,Data!$B$2:$B$151,B$14,Data!$A$2:$A$151,$A19)</f>
        <v>49</v>
      </c>
      <c r="C19" s="36">
        <f>SUMIFS(Data!$D$2:$D$151,Data!$B$2:$B$151,C$14,Data!$A$2:$A$151,$A19)</f>
        <v>81</v>
      </c>
      <c r="D19" s="36">
        <f>SUMIFS(Data!$D$2:$D$151,Data!$B$2:$B$151,D$14,Data!$A$2:$A$151,$A19)</f>
        <v>100</v>
      </c>
      <c r="E19" s="36">
        <f>SUMIFS(Data!$D$2:$D$151,Data!$B$2:$B$151,E$14,Data!$A$2:$A$151,$A19)</f>
        <v>46</v>
      </c>
      <c r="F19" s="36">
        <f>SUMIFS(Data!$D$2:$D$151,Data!$B$2:$B$151,F$14,Data!$A$2:$A$151,$A19)</f>
        <v>25</v>
      </c>
      <c r="G19" s="62">
        <f>SUM(B19:F19)</f>
        <v>301</v>
      </c>
      <c r="H19" s="63" t="n"/>
    </row>
    <row r="20">
      <c r="A20" s="41">
        <f>A19+1</f>
        <v>46271.0</v>
      </c>
      <c r="B20" s="36">
        <f>SUMIFS(Data!$D$2:$D$151,Data!$B$2:$B$151,B$14,Data!$A$2:$A$151,$A20)</f>
        <v>52</v>
      </c>
      <c r="C20" s="36">
        <f>SUMIFS(Data!$D$2:$D$151,Data!$B$2:$B$151,C$14,Data!$A$2:$A$151,$A20)</f>
        <v>52</v>
      </c>
      <c r="D20" s="36">
        <f>SUMIFS(Data!$D$2:$D$151,Data!$B$2:$B$151,D$14,Data!$A$2:$A$151,$A20)</f>
        <v>104</v>
      </c>
      <c r="E20" s="36">
        <f>SUMIFS(Data!$D$2:$D$151,Data!$B$2:$B$151,E$14,Data!$A$2:$A$151,$A20)</f>
        <v>32</v>
      </c>
      <c r="F20" s="36">
        <f>SUMIFS(Data!$D$2:$D$151,Data!$B$2:$B$151,F$14,Data!$A$2:$A$151,$A20)</f>
        <v>35</v>
      </c>
      <c r="G20" s="62">
        <f>SUM(B20:F20)</f>
        <v>275</v>
      </c>
      <c r="H20" s="63" t="n"/>
    </row>
    <row r="21">
      <c r="A21" s="41">
        <f>A20+1</f>
        <v>46272.0</v>
      </c>
      <c r="B21" s="36">
        <f>SUMIFS(Data!$D$2:$D$151,Data!$B$2:$B$151,B$14,Data!$A$2:$A$151,$A21)</f>
        <v>60</v>
      </c>
      <c r="C21" s="36">
        <f>SUMIFS(Data!$D$2:$D$151,Data!$B$2:$B$151,C$14,Data!$A$2:$A$151,$A21)</f>
        <v>77</v>
      </c>
      <c r="D21" s="36">
        <f>SUMIFS(Data!$D$2:$D$151,Data!$B$2:$B$151,D$14,Data!$A$2:$A$151,$A21)</f>
        <v>83</v>
      </c>
      <c r="E21" s="36">
        <f>SUMIFS(Data!$D$2:$D$151,Data!$B$2:$B$151,E$14,Data!$A$2:$A$151,$A21)</f>
        <v>46</v>
      </c>
      <c r="F21" s="36">
        <f>SUMIFS(Data!$D$2:$D$151,Data!$B$2:$B$151,F$14,Data!$A$2:$A$151,$A21)</f>
        <v>32</v>
      </c>
      <c r="G21" s="62">
        <f>SUM(B21:F21)</f>
        <v>298</v>
      </c>
      <c r="H21" s="63" t="n"/>
    </row>
    <row r="22">
      <c r="A22" s="41">
        <f>A21+1</f>
        <v>46273.0</v>
      </c>
      <c r="B22" s="36">
        <f>SUMIFS(Data!$D$2:$D$151,Data!$B$2:$B$151,B$14,Data!$A$2:$A$151,$A22)</f>
        <v>52</v>
      </c>
      <c r="C22" s="36">
        <f>SUMIFS(Data!$D$2:$D$151,Data!$B$2:$B$151,C$14,Data!$A$2:$A$151,$A22)</f>
        <v>57</v>
      </c>
      <c r="D22" s="36">
        <f>SUMIFS(Data!$D$2:$D$151,Data!$B$2:$B$151,D$14,Data!$A$2:$A$151,$A22)</f>
        <v>81</v>
      </c>
      <c r="E22" s="36">
        <f>SUMIFS(Data!$D$2:$D$151,Data!$B$2:$B$151,E$14,Data!$A$2:$A$151,$A22)</f>
        <v>48</v>
      </c>
      <c r="F22" s="36">
        <f>SUMIFS(Data!$D$2:$D$151,Data!$B$2:$B$151,F$14,Data!$A$2:$A$151,$A22)</f>
        <v>24</v>
      </c>
      <c r="G22" s="62">
        <f>SUM(B22:F22)</f>
        <v>262</v>
      </c>
      <c r="H22" s="36">
        <f>AVERAGE(G15:G21)</f>
        <v>285</v>
      </c>
      <c r="J22" s="37">
        <f>AVERAGE(B15:B21)</f>
        <v>58.4285714285714</v>
      </c>
      <c r="K22" s="37">
        <f>AVERAGE(C15:C21)</f>
        <v>70.1428571428571</v>
      </c>
      <c r="L22" s="37">
        <f>AVERAGE(D15:D21)</f>
        <v>85.7142857142857</v>
      </c>
      <c r="M22" s="37">
        <f>AVERAGE(E15:E21)</f>
        <v>39.7142857142857</v>
      </c>
      <c r="N22" s="37">
        <f>AVERAGE(F15:F21)</f>
        <v>31</v>
      </c>
    </row>
    <row r="23">
      <c r="A23" s="41">
        <f>A22+1</f>
        <v>46274.0</v>
      </c>
      <c r="B23" s="36">
        <f>SUMIFS(Data!$D$2:$D$151,Data!$B$2:$B$151,B$14,Data!$A$2:$A$151,$A23)</f>
        <v>66</v>
      </c>
      <c r="C23" s="36">
        <f>SUMIFS(Data!$D$2:$D$151,Data!$B$2:$B$151,C$14,Data!$A$2:$A$151,$A23)</f>
        <v>79</v>
      </c>
      <c r="D23" s="36">
        <f>SUMIFS(Data!$D$2:$D$151,Data!$B$2:$B$151,D$14,Data!$A$2:$A$151,$A23)</f>
        <v>65</v>
      </c>
      <c r="E23" s="36">
        <f>SUMIFS(Data!$D$2:$D$151,Data!$B$2:$B$151,E$14,Data!$A$2:$A$151,$A23)</f>
        <v>32</v>
      </c>
      <c r="F23" s="36">
        <f>SUMIFS(Data!$D$2:$D$151,Data!$B$2:$B$151,F$14,Data!$A$2:$A$151,$A23)</f>
        <v>34</v>
      </c>
      <c r="G23" s="62">
        <f>SUM(B23:F23)</f>
        <v>276</v>
      </c>
      <c r="H23" s="36">
        <f>AVERAGE(G16:G22)</f>
        <v>284.714285714286</v>
      </c>
      <c r="J23" s="37">
        <f>AVERAGE(B16:B22)</f>
        <v>59</v>
      </c>
      <c r="K23" s="37">
        <f>AVERAGE(C16:C22)</f>
        <v>66.8571428571429</v>
      </c>
      <c r="L23" s="37">
        <f>AVERAGE(D16:D22)</f>
        <v>86.7142857142857</v>
      </c>
      <c r="M23" s="37">
        <f>AVERAGE(E16:E22)</f>
        <v>42</v>
      </c>
      <c r="N23" s="37">
        <f>AVERAGE(F16:F22)</f>
        <v>30.1428571428571</v>
      </c>
    </row>
    <row r="24">
      <c r="A24" s="41">
        <f>A23+1</f>
        <v>46275.0</v>
      </c>
      <c r="B24" s="36">
        <f>SUMIFS(Data!$D$2:$D$151,Data!$B$2:$B$151,B$14,Data!$A$2:$A$151,$A24)</f>
        <v>57</v>
      </c>
      <c r="C24" s="36">
        <f>SUMIFS(Data!$D$2:$D$151,Data!$B$2:$B$151,C$14,Data!$A$2:$A$151,$A24)</f>
        <v>69</v>
      </c>
      <c r="D24" s="36">
        <f>SUMIFS(Data!$D$2:$D$151,Data!$B$2:$B$151,D$14,Data!$A$2:$A$151,$A24)</f>
        <v>81</v>
      </c>
      <c r="E24" s="36">
        <f>SUMIFS(Data!$D$2:$D$151,Data!$B$2:$B$151,E$14,Data!$A$2:$A$151,$A24)</f>
        <v>30</v>
      </c>
      <c r="F24" s="36">
        <f>SUMIFS(Data!$D$2:$D$151,Data!$B$2:$B$151,F$14,Data!$A$2:$A$151,$A24)</f>
        <v>34</v>
      </c>
      <c r="G24" s="62">
        <f>SUM(B24:F24)</f>
        <v>271</v>
      </c>
      <c r="H24" s="36">
        <f>AVERAGE(G17:G23)</f>
        <v>285.428571428571</v>
      </c>
      <c r="J24" s="37">
        <f>AVERAGE(B17:B23)</f>
        <v>60</v>
      </c>
      <c r="K24" s="37">
        <f>AVERAGE(C17:C23)</f>
        <v>67.7142857142857</v>
      </c>
      <c r="L24" s="37">
        <f>AVERAGE(D17:D23)</f>
        <v>84.5714285714286</v>
      </c>
      <c r="M24" s="37">
        <f>AVERAGE(E17:E23)</f>
        <v>41.8571428571429</v>
      </c>
      <c r="N24" s="37">
        <f>AVERAGE(F17:F23)</f>
        <v>31.2857142857143</v>
      </c>
    </row>
    <row r="25">
      <c r="A25" s="41">
        <f>A24+1</f>
        <v>46276.0</v>
      </c>
      <c r="B25" s="36">
        <f>SUMIFS(Data!$D$2:$D$151,Data!$B$2:$B$151,B$14,Data!$A$2:$A$151,$A25)</f>
        <v>62</v>
      </c>
      <c r="C25" s="36">
        <f>SUMIFS(Data!$D$2:$D$151,Data!$B$2:$B$151,C$14,Data!$A$2:$A$151,$A25)</f>
        <v>75</v>
      </c>
      <c r="D25" s="36">
        <f>SUMIFS(Data!$D$2:$D$151,Data!$B$2:$B$151,D$14,Data!$A$2:$A$151,$A25)</f>
        <v>74</v>
      </c>
      <c r="E25" s="36">
        <f>SUMIFS(Data!$D$2:$D$151,Data!$B$2:$B$151,E$14,Data!$A$2:$A$151,$A25)</f>
        <v>46</v>
      </c>
      <c r="F25" s="36">
        <f>SUMIFS(Data!$D$2:$D$151,Data!$B$2:$B$151,F$14,Data!$A$2:$A$151,$A25)</f>
        <v>36</v>
      </c>
      <c r="G25" s="62">
        <f>SUM(B25:F25)</f>
        <v>293</v>
      </c>
      <c r="H25" s="36">
        <f>AVERAGE(G18:G24)</f>
        <v>280.714285714286</v>
      </c>
      <c r="J25" s="37">
        <f>AVERAGE(B18:B24)</f>
        <v>58.7142857142857</v>
      </c>
      <c r="K25" s="37">
        <f>AVERAGE(C18:C24)</f>
        <v>68.1428571428571</v>
      </c>
      <c r="L25" s="37">
        <f>AVERAGE(D18:D24)</f>
        <v>83.2857142857143</v>
      </c>
      <c r="M25" s="37">
        <f>AVERAGE(E18:E24)</f>
        <v>39.7142857142857</v>
      </c>
      <c r="N25" s="37">
        <f>AVERAGE(F18:F24)</f>
        <v>30.8571428571429</v>
      </c>
    </row>
    <row r="26">
      <c r="A26" s="41">
        <f>A25+1</f>
        <v>46277.0</v>
      </c>
      <c r="B26" s="36">
        <f>SUMIFS(Data!$D$2:$D$151,Data!$B$2:$B$151,B$14,Data!$A$2:$A$151,$A26)</f>
        <v>61</v>
      </c>
      <c r="C26" s="36">
        <f>SUMIFS(Data!$D$2:$D$151,Data!$B$2:$B$151,C$14,Data!$A$2:$A$151,$A26)</f>
        <v>56</v>
      </c>
      <c r="D26" s="36">
        <f>SUMIFS(Data!$D$2:$D$151,Data!$B$2:$B$151,D$14,Data!$A$2:$A$151,$A26)</f>
        <v>65</v>
      </c>
      <c r="E26" s="36">
        <f>SUMIFS(Data!$D$2:$D$151,Data!$B$2:$B$151,E$14,Data!$A$2:$A$151,$A26)</f>
        <v>31</v>
      </c>
      <c r="F26" s="36">
        <f>SUMIFS(Data!$D$2:$D$151,Data!$B$2:$B$151,F$14,Data!$A$2:$A$151,$A26)</f>
        <v>23</v>
      </c>
      <c r="G26" s="62">
        <f>SUM(B26:F26)</f>
        <v>236</v>
      </c>
      <c r="H26" s="36">
        <f>AVERAGE(G19:G25)</f>
        <v>282.285714285714</v>
      </c>
      <c r="J26" s="37">
        <f>AVERAGE(B19:B25)</f>
        <v>56.8571428571429</v>
      </c>
      <c r="K26" s="37">
        <f>AVERAGE(C19:C25)</f>
        <v>70</v>
      </c>
      <c r="L26" s="37">
        <f>AVERAGE(D19:D25)</f>
        <v>84</v>
      </c>
      <c r="M26" s="37">
        <f>AVERAGE(E19:E25)</f>
        <v>40</v>
      </c>
      <c r="N26" s="37">
        <f>AVERAGE(F19:F25)</f>
        <v>31.4285714285714</v>
      </c>
    </row>
    <row r="27">
      <c r="A27" s="41">
        <f>A26+1</f>
        <v>46278.0</v>
      </c>
      <c r="B27" s="36">
        <f>SUMIFS(Data!$D$2:$D$151,Data!$B$2:$B$151,B$14,Data!$A$2:$A$151,$A27)</f>
        <v>64</v>
      </c>
      <c r="C27" s="36">
        <f>SUMIFS(Data!$D$2:$D$151,Data!$B$2:$B$151,C$14,Data!$A$2:$A$151,$A27)</f>
        <v>75</v>
      </c>
      <c r="D27" s="36">
        <f>SUMIFS(Data!$D$2:$D$151,Data!$B$2:$B$151,D$14,Data!$A$2:$A$151,$A27)</f>
        <v>67</v>
      </c>
      <c r="E27" s="36">
        <f>SUMIFS(Data!$D$2:$D$151,Data!$B$2:$B$151,E$14,Data!$A$2:$A$151,$A27)</f>
        <v>48</v>
      </c>
      <c r="F27" s="36">
        <f>SUMIFS(Data!$D$2:$D$151,Data!$B$2:$B$151,F$14,Data!$A$2:$A$151,$A27)</f>
        <v>33</v>
      </c>
      <c r="G27" s="62">
        <f>SUM(B27:F27)</f>
        <v>287</v>
      </c>
      <c r="H27" s="36">
        <f>AVERAGE(G20:G26)</f>
        <v>273</v>
      </c>
      <c r="J27" s="37">
        <f>AVERAGE(B20:B26)</f>
        <v>58.5714285714286</v>
      </c>
      <c r="K27" s="37">
        <f>AVERAGE(C20:C26)</f>
        <v>66.4285714285714</v>
      </c>
      <c r="L27" s="37">
        <f>AVERAGE(D20:D26)</f>
        <v>79</v>
      </c>
      <c r="M27" s="37">
        <f>AVERAGE(E20:E26)</f>
        <v>37.8571428571429</v>
      </c>
      <c r="N27" s="37">
        <f>AVERAGE(F20:F26)</f>
        <v>31.1428571428571</v>
      </c>
    </row>
    <row r="28">
      <c r="A28" s="41">
        <f>A27+1</f>
        <v>46279.0</v>
      </c>
      <c r="B28" s="36">
        <f>SUMIFS(Data!$D$2:$D$151,Data!$B$2:$B$151,B$14,Data!$A$2:$A$151,$A28)</f>
        <v>69</v>
      </c>
      <c r="C28" s="36">
        <f>SUMIFS(Data!$D$2:$D$151,Data!$B$2:$B$151,C$14,Data!$A$2:$A$151,$A28)</f>
        <v>87</v>
      </c>
      <c r="D28" s="36">
        <f>SUMIFS(Data!$D$2:$D$151,Data!$B$2:$B$151,D$14,Data!$A$2:$A$151,$A28)</f>
        <v>90</v>
      </c>
      <c r="E28" s="36">
        <f>SUMIFS(Data!$D$2:$D$151,Data!$B$2:$B$151,E$14,Data!$A$2:$A$151,$A28)</f>
        <v>39</v>
      </c>
      <c r="F28" s="36">
        <f>SUMIFS(Data!$D$2:$D$151,Data!$B$2:$B$151,F$14,Data!$A$2:$A$151,$A28)</f>
        <v>39</v>
      </c>
      <c r="G28" s="62">
        <f>SUM(B28:F28)</f>
        <v>324</v>
      </c>
      <c r="H28" s="36">
        <f>AVERAGE(G21:G27)</f>
        <v>274.714285714286</v>
      </c>
      <c r="J28" s="37">
        <f>AVERAGE(B21:B27)</f>
        <v>60.2857142857143</v>
      </c>
      <c r="K28" s="37">
        <f>AVERAGE(C21:C27)</f>
        <v>69.7142857142857</v>
      </c>
      <c r="L28" s="37">
        <f>AVERAGE(D21:D27)</f>
        <v>73.7142857142857</v>
      </c>
      <c r="M28" s="37">
        <f>AVERAGE(E21:E27)</f>
        <v>40.1428571428571</v>
      </c>
      <c r="N28" s="37">
        <f>AVERAGE(F21:F27)</f>
        <v>30.8571428571429</v>
      </c>
    </row>
    <row r="29">
      <c r="A29" s="41">
        <f>A28+1</f>
        <v>46280.0</v>
      </c>
      <c r="B29" s="36">
        <f>SUMIFS(Data!$D$2:$D$151,Data!$B$2:$B$151,B$14,Data!$A$2:$A$151,$A29)</f>
        <v>46</v>
      </c>
      <c r="C29" s="36">
        <f>SUMIFS(Data!$D$2:$D$151,Data!$B$2:$B$151,C$14,Data!$A$2:$A$151,$A29)</f>
        <v>82</v>
      </c>
      <c r="D29" s="36">
        <f>SUMIFS(Data!$D$2:$D$151,Data!$B$2:$B$151,D$14,Data!$A$2:$A$151,$A29)</f>
        <v>100</v>
      </c>
      <c r="E29" s="36">
        <f>SUMIFS(Data!$D$2:$D$151,Data!$B$2:$B$151,E$14,Data!$A$2:$A$151,$A29)</f>
        <v>38</v>
      </c>
      <c r="F29" s="36">
        <f>SUMIFS(Data!$D$2:$D$151,Data!$B$2:$B$151,F$14,Data!$A$2:$A$151,$A29)</f>
        <v>36</v>
      </c>
      <c r="G29" s="62">
        <f>SUM(B29:F29)</f>
        <v>302</v>
      </c>
      <c r="H29" s="36">
        <f>AVERAGE(G22:G28)</f>
        <v>278.428571428571</v>
      </c>
      <c r="J29" s="37">
        <f>AVERAGE(B22:B28)</f>
        <v>61.5714285714286</v>
      </c>
      <c r="K29" s="37">
        <f>AVERAGE(C22:C28)</f>
        <v>71.1428571428571</v>
      </c>
      <c r="L29" s="37">
        <f>AVERAGE(D22:D28)</f>
        <v>74.7142857142857</v>
      </c>
      <c r="M29" s="37">
        <f>AVERAGE(E22:E28)</f>
        <v>39.1428571428571</v>
      </c>
      <c r="N29" s="37">
        <f>AVERAGE(F22:F28)</f>
        <v>31.8571428571429</v>
      </c>
    </row>
    <row r="30">
      <c r="A30" s="41">
        <f>A29+1</f>
        <v>46281.0</v>
      </c>
      <c r="B30" s="36">
        <f>SUMIFS(Data!$D$2:$D$151,Data!$B$2:$B$151,B$14,Data!$A$2:$A$151,$A30)</f>
        <v>48</v>
      </c>
      <c r="C30" s="36">
        <f>SUMIFS(Data!$D$2:$D$151,Data!$B$2:$B$151,C$14,Data!$A$2:$A$151,$A30)</f>
        <v>70</v>
      </c>
      <c r="D30" s="36">
        <f>SUMIFS(Data!$D$2:$D$151,Data!$B$2:$B$151,D$14,Data!$A$2:$A$151,$A30)</f>
        <v>71</v>
      </c>
      <c r="E30" s="36">
        <f>SUMIFS(Data!$D$2:$D$151,Data!$B$2:$B$151,E$14,Data!$A$2:$A$151,$A30)</f>
        <v>36</v>
      </c>
      <c r="F30" s="36">
        <f>SUMIFS(Data!$D$2:$D$151,Data!$B$2:$B$151,F$14,Data!$A$2:$A$151,$A30)</f>
        <v>34</v>
      </c>
      <c r="G30" s="62">
        <f>SUM(B30:F30)</f>
        <v>259</v>
      </c>
      <c r="H30" s="36">
        <f>AVERAGE(G23:G29)</f>
        <v>284.142857142857</v>
      </c>
      <c r="J30" s="37">
        <f>AVERAGE(B23:B29)</f>
        <v>60.7142857142857</v>
      </c>
      <c r="K30" s="37">
        <f>AVERAGE(C23:C29)</f>
        <v>74.7142857142857</v>
      </c>
      <c r="L30" s="37">
        <f>AVERAGE(D23:D29)</f>
        <v>77.4285714285714</v>
      </c>
      <c r="M30" s="37">
        <f>AVERAGE(E23:E29)</f>
        <v>37.7142857142857</v>
      </c>
      <c r="N30" s="37">
        <f>AVERAGE(F23:F29)</f>
        <v>33.5714285714286</v>
      </c>
    </row>
    <row r="31">
      <c r="A31" s="41">
        <f>A30+1</f>
        <v>46282.0</v>
      </c>
      <c r="B31" s="36">
        <f>SUMIFS(Data!$D$2:$D$151,Data!$B$2:$B$151,B$14,Data!$A$2:$A$151,$A31)</f>
        <v>47</v>
      </c>
      <c r="C31" s="36">
        <f>SUMIFS(Data!$D$2:$D$151,Data!$B$2:$B$151,C$14,Data!$A$2:$A$151,$A31)</f>
        <v>66</v>
      </c>
      <c r="D31" s="36">
        <f>SUMIFS(Data!$D$2:$D$151,Data!$B$2:$B$151,D$14,Data!$A$2:$A$151,$A31)</f>
        <v>98</v>
      </c>
      <c r="E31" s="36">
        <f>SUMIFS(Data!$D$2:$D$151,Data!$B$2:$B$151,E$14,Data!$A$2:$A$151,$A31)</f>
        <v>34</v>
      </c>
      <c r="F31" s="36">
        <f>SUMIFS(Data!$D$2:$D$151,Data!$B$2:$B$151,F$14,Data!$A$2:$A$151,$A31)</f>
        <v>24</v>
      </c>
      <c r="G31" s="62">
        <f>SUM(B31:F31)</f>
        <v>269</v>
      </c>
      <c r="H31" s="36">
        <f>AVERAGE(G24:G30)</f>
        <v>281.714285714286</v>
      </c>
      <c r="J31" s="37">
        <f>AVERAGE(B24:B30)</f>
        <v>58.1428571428571</v>
      </c>
      <c r="K31" s="37">
        <f>AVERAGE(C24:C30)</f>
        <v>73.4285714285714</v>
      </c>
      <c r="L31" s="37">
        <f>AVERAGE(D24:D30)</f>
        <v>78.2857142857143</v>
      </c>
      <c r="M31" s="37">
        <f>AVERAGE(E24:E30)</f>
        <v>38.2857142857143</v>
      </c>
      <c r="N31" s="37">
        <f>AVERAGE(F24:F30)</f>
        <v>33.5714285714286</v>
      </c>
    </row>
    <row r="32">
      <c r="A32" s="41">
        <f>A31+1</f>
        <v>46283.0</v>
      </c>
      <c r="B32" s="36">
        <f>SUMIFS(Data!$D$2:$D$151,Data!$B$2:$B$151,B$14,Data!$A$2:$A$151,$A32)</f>
        <v>76</v>
      </c>
      <c r="C32" s="36">
        <f>SUMIFS(Data!$D$2:$D$151,Data!$B$2:$B$151,C$14,Data!$A$2:$A$151,$A32)</f>
        <v>75</v>
      </c>
      <c r="D32" s="36">
        <f>SUMIFS(Data!$D$2:$D$151,Data!$B$2:$B$151,D$14,Data!$A$2:$A$151,$A32)</f>
        <v>58</v>
      </c>
      <c r="E32" s="36">
        <f>SUMIFS(Data!$D$2:$D$151,Data!$B$2:$B$151,E$14,Data!$A$2:$A$151,$A32)</f>
        <v>40</v>
      </c>
      <c r="F32" s="36">
        <f>SUMIFS(Data!$D$2:$D$151,Data!$B$2:$B$151,F$14,Data!$A$2:$A$151,$A32)</f>
        <v>24</v>
      </c>
      <c r="G32" s="62">
        <f>SUM(B32:F32)</f>
        <v>273</v>
      </c>
      <c r="H32" s="36">
        <f>AVERAGE(G25:G31)</f>
        <v>281.428571428571</v>
      </c>
      <c r="J32" s="37">
        <f>AVERAGE(B25:B31)</f>
        <v>56.7142857142857</v>
      </c>
      <c r="K32" s="37">
        <f>AVERAGE(C25:C31)</f>
        <v>73</v>
      </c>
      <c r="L32" s="37">
        <f>AVERAGE(D25:D31)</f>
        <v>80.7142857142857</v>
      </c>
      <c r="M32" s="37">
        <f>AVERAGE(E25:E31)</f>
        <v>38.8571428571429</v>
      </c>
      <c r="N32" s="37">
        <f>AVERAGE(F25:F31)</f>
        <v>32.1428571428571</v>
      </c>
    </row>
    <row r="33">
      <c r="A33" s="41">
        <f>A32+1</f>
        <v>46284.0</v>
      </c>
      <c r="B33" s="36">
        <f>SUMIFS(Data!$D$2:$D$151,Data!$B$2:$B$151,B$14,Data!$A$2:$A$151,$A33)</f>
        <v>47</v>
      </c>
      <c r="C33" s="36">
        <f>SUMIFS(Data!$D$2:$D$151,Data!$B$2:$B$151,C$14,Data!$A$2:$A$151,$A33)</f>
        <v>84</v>
      </c>
      <c r="D33" s="36">
        <f>SUMIFS(Data!$D$2:$D$151,Data!$B$2:$B$151,D$14,Data!$A$2:$A$151,$A33)</f>
        <v>89</v>
      </c>
      <c r="E33" s="36">
        <f>SUMIFS(Data!$D$2:$D$151,Data!$B$2:$B$151,E$14,Data!$A$2:$A$151,$A33)</f>
        <v>37</v>
      </c>
      <c r="F33" s="36">
        <f>SUMIFS(Data!$D$2:$D$151,Data!$B$2:$B$151,F$14,Data!$A$2:$A$151,$A33)</f>
        <v>31</v>
      </c>
      <c r="G33" s="62">
        <f>SUM(B33:F33)</f>
        <v>288</v>
      </c>
      <c r="H33" s="36">
        <f>AVERAGE(G26:G32)</f>
        <v>278.571428571429</v>
      </c>
      <c r="J33" s="37">
        <f>AVERAGE(B26:B32)</f>
        <v>58.7142857142857</v>
      </c>
      <c r="K33" s="37">
        <f>AVERAGE(C26:C32)</f>
        <v>73</v>
      </c>
      <c r="L33" s="37">
        <f>AVERAGE(D26:D32)</f>
        <v>78.4285714285714</v>
      </c>
      <c r="M33" s="37">
        <f>AVERAGE(E26:E32)</f>
        <v>38</v>
      </c>
      <c r="N33" s="37">
        <f>AVERAGE(F26:F32)</f>
        <v>30.4285714285714</v>
      </c>
    </row>
    <row r="34">
      <c r="A34" s="41">
        <f>A33+1</f>
        <v>46285.0</v>
      </c>
      <c r="B34" s="36">
        <f>SUMIFS(Data!$D$2:$D$151,Data!$B$2:$B$151,B$14,Data!$A$2:$A$151,$A34)</f>
        <v>61</v>
      </c>
      <c r="C34" s="36">
        <f>SUMIFS(Data!$D$2:$D$151,Data!$B$2:$B$151,C$14,Data!$A$2:$A$151,$A34)</f>
        <v>72</v>
      </c>
      <c r="D34" s="36">
        <f>SUMIFS(Data!$D$2:$D$151,Data!$B$2:$B$151,D$14,Data!$A$2:$A$151,$A34)</f>
        <v>62</v>
      </c>
      <c r="E34" s="36">
        <f>SUMIFS(Data!$D$2:$D$151,Data!$B$2:$B$151,E$14,Data!$A$2:$A$151,$A34)</f>
        <v>45</v>
      </c>
      <c r="F34" s="36">
        <f>SUMIFS(Data!$D$2:$D$151,Data!$B$2:$B$151,F$14,Data!$A$2:$A$151,$A34)</f>
        <v>35</v>
      </c>
      <c r="G34" s="62">
        <f>SUM(B34:F34)</f>
        <v>275</v>
      </c>
      <c r="H34" s="36">
        <f>AVERAGE(G27:G33)</f>
        <v>286</v>
      </c>
      <c r="J34" s="37">
        <f>AVERAGE(B27:B33)</f>
        <v>56.7142857142857</v>
      </c>
      <c r="K34" s="37">
        <f>AVERAGE(C27:C33)</f>
        <v>77</v>
      </c>
      <c r="L34" s="37">
        <f>AVERAGE(D27:D33)</f>
        <v>81.8571428571429</v>
      </c>
      <c r="M34" s="37">
        <f>AVERAGE(E27:E33)</f>
        <v>38.8571428571429</v>
      </c>
      <c r="N34" s="37">
        <f>AVERAGE(F27:F33)</f>
        <v>31.5714285714286</v>
      </c>
    </row>
    <row r="35">
      <c r="A35" s="41">
        <f>A34+1</f>
        <v>46286.0</v>
      </c>
      <c r="B35" s="36">
        <f>SUMIFS(Data!$D$2:$D$151,Data!$B$2:$B$151,B$14,Data!$A$2:$A$151,$A35)</f>
        <v>56</v>
      </c>
      <c r="C35" s="36">
        <f>SUMIFS(Data!$D$2:$D$151,Data!$B$2:$B$151,C$14,Data!$A$2:$A$151,$A35)</f>
        <v>69</v>
      </c>
      <c r="D35" s="36">
        <f>SUMIFS(Data!$D$2:$D$151,Data!$B$2:$B$151,D$14,Data!$A$2:$A$151,$A35)</f>
        <v>87</v>
      </c>
      <c r="E35" s="36">
        <f>SUMIFS(Data!$D$2:$D$151,Data!$B$2:$B$151,E$14,Data!$A$2:$A$151,$A35)</f>
        <v>38</v>
      </c>
      <c r="F35" s="36">
        <f>SUMIFS(Data!$D$2:$D$151,Data!$B$2:$B$151,F$14,Data!$A$2:$A$151,$A35)</f>
        <v>29</v>
      </c>
      <c r="G35" s="62">
        <f>SUM(B35:F35)</f>
        <v>279</v>
      </c>
      <c r="H35" s="36">
        <f>AVERAGE(G28:G34)</f>
        <v>284.285714285714</v>
      </c>
      <c r="J35" s="37">
        <f>AVERAGE(B28:B34)</f>
        <v>56.2857142857143</v>
      </c>
      <c r="K35" s="37">
        <f>AVERAGE(C28:C34)</f>
        <v>76.5714285714286</v>
      </c>
      <c r="L35" s="37">
        <f>AVERAGE(D28:D34)</f>
        <v>81.1428571428571</v>
      </c>
      <c r="M35" s="37">
        <f>AVERAGE(E28:E34)</f>
        <v>38.4285714285714</v>
      </c>
      <c r="N35" s="37">
        <f>AVERAGE(F28:F34)</f>
        <v>31.8571428571429</v>
      </c>
    </row>
    <row r="36">
      <c r="A36" s="41">
        <f>A35+1</f>
        <v>46287.0</v>
      </c>
      <c r="B36" s="36">
        <f>SUMIFS(Data!$D$2:$D$151,Data!$B$2:$B$151,B$14,Data!$A$2:$A$151,$A36)</f>
        <v>72</v>
      </c>
      <c r="C36" s="36">
        <f>SUMIFS(Data!$D$2:$D$151,Data!$B$2:$B$151,C$14,Data!$A$2:$A$151,$A36)</f>
        <v>91</v>
      </c>
      <c r="D36" s="36">
        <f>SUMIFS(Data!$D$2:$D$151,Data!$B$2:$B$151,D$14,Data!$A$2:$A$151,$A36)</f>
        <v>65</v>
      </c>
      <c r="E36" s="36">
        <f>SUMIFS(Data!$D$2:$D$151,Data!$B$2:$B$151,E$14,Data!$A$2:$A$151,$A36)</f>
        <v>31</v>
      </c>
      <c r="F36" s="36">
        <f>SUMIFS(Data!$D$2:$D$151,Data!$B$2:$B$151,F$14,Data!$A$2:$A$151,$A36)</f>
        <v>36</v>
      </c>
      <c r="G36" s="62">
        <f>SUM(B36:F36)</f>
        <v>295</v>
      </c>
      <c r="H36" s="36">
        <f>AVERAGE(G29:G35)</f>
        <v>277.857142857143</v>
      </c>
      <c r="J36" s="37">
        <f>AVERAGE(B29:B35)</f>
        <v>54.4285714285714</v>
      </c>
      <c r="K36" s="37">
        <f>AVERAGE(C29:C35)</f>
        <v>74</v>
      </c>
      <c r="L36" s="37">
        <f>AVERAGE(D29:D35)</f>
        <v>80.7142857142857</v>
      </c>
      <c r="M36" s="37">
        <f>AVERAGE(E29:E35)</f>
        <v>38.2857142857143</v>
      </c>
      <c r="N36" s="37">
        <f>AVERAGE(F29:F35)</f>
        <v>30.4285714285714</v>
      </c>
    </row>
    <row r="37">
      <c r="A37" s="41">
        <f>A36+1</f>
        <v>46288.0</v>
      </c>
      <c r="B37" s="36">
        <f>SUMIFS(Data!$D$2:$D$151,Data!$B$2:$B$151,B$14,Data!$A$2:$A$151,$A37)</f>
        <v>75</v>
      </c>
      <c r="C37" s="36">
        <f>SUMIFS(Data!$D$2:$D$151,Data!$B$2:$B$151,C$14,Data!$A$2:$A$151,$A37)</f>
        <v>83</v>
      </c>
      <c r="D37" s="36">
        <f>SUMIFS(Data!$D$2:$D$151,Data!$B$2:$B$151,D$14,Data!$A$2:$A$151,$A37)</f>
        <v>72</v>
      </c>
      <c r="E37" s="36">
        <f>SUMIFS(Data!$D$2:$D$151,Data!$B$2:$B$151,E$14,Data!$A$2:$A$151,$A37)</f>
        <v>29</v>
      </c>
      <c r="F37" s="36">
        <f>SUMIFS(Data!$D$2:$D$151,Data!$B$2:$B$151,F$14,Data!$A$2:$A$151,$A37)</f>
        <v>36</v>
      </c>
      <c r="G37" s="62">
        <f>SUM(B37:F37)</f>
        <v>295</v>
      </c>
      <c r="H37" s="36">
        <f>AVERAGE(G30:G36)</f>
        <v>276.857142857143</v>
      </c>
      <c r="J37" s="37">
        <f>AVERAGE(B30:B36)</f>
        <v>58.1428571428571</v>
      </c>
      <c r="K37" s="37">
        <f>AVERAGE(C30:C36)</f>
        <v>75.2857142857143</v>
      </c>
      <c r="L37" s="37">
        <f>AVERAGE(D30:D36)</f>
        <v>75.7142857142857</v>
      </c>
      <c r="M37" s="37">
        <f>AVERAGE(E30:E36)</f>
        <v>37.2857142857143</v>
      </c>
      <c r="N37" s="37">
        <f>AVERAGE(F30:F36)</f>
        <v>30.4285714285714</v>
      </c>
    </row>
    <row r="38">
      <c r="A38" s="41">
        <f>A37+1</f>
        <v>46289.0</v>
      </c>
      <c r="B38" s="36">
        <f>SUMIFS(Data!$D$2:$D$151,Data!$B$2:$B$151,B$14,Data!$A$2:$A$151,$A38)</f>
        <v>74</v>
      </c>
      <c r="C38" s="36">
        <f>SUMIFS(Data!$D$2:$D$151,Data!$B$2:$B$151,C$14,Data!$A$2:$A$151,$A38)</f>
        <v>85</v>
      </c>
      <c r="D38" s="36">
        <f>SUMIFS(Data!$D$2:$D$151,Data!$B$2:$B$151,D$14,Data!$A$2:$A$151,$A38)</f>
        <v>93</v>
      </c>
      <c r="E38" s="36">
        <f>SUMIFS(Data!$D$2:$D$151,Data!$B$2:$B$151,E$14,Data!$A$2:$A$151,$A38)</f>
        <v>50</v>
      </c>
      <c r="F38" s="36">
        <f>SUMIFS(Data!$D$2:$D$151,Data!$B$2:$B$151,F$14,Data!$A$2:$A$151,$A38)</f>
        <v>31</v>
      </c>
      <c r="G38" s="62">
        <f>SUM(B38:F38)</f>
        <v>333</v>
      </c>
      <c r="H38" s="36">
        <f>AVERAGE(G31:G37)</f>
        <v>282</v>
      </c>
      <c r="J38" s="37">
        <f>AVERAGE(B31:B37)</f>
        <v>62</v>
      </c>
      <c r="K38" s="37">
        <f>AVERAGE(C31:C37)</f>
        <v>77.1428571428571</v>
      </c>
      <c r="L38" s="37">
        <f>AVERAGE(D31:D37)</f>
        <v>75.8571428571429</v>
      </c>
      <c r="M38" s="37">
        <f>AVERAGE(E31:E37)</f>
        <v>36.2857142857143</v>
      </c>
      <c r="N38" s="37">
        <f>AVERAGE(F31:F37)</f>
        <v>30.7142857142857</v>
      </c>
    </row>
    <row r="39">
      <c r="A39" s="41">
        <f>A38+1</f>
        <v>46290.0</v>
      </c>
      <c r="B39" s="36">
        <f>SUMIFS(Data!$D$2:$D$151,Data!$B$2:$B$151,B$14,Data!$A$2:$A$151,$A39)</f>
        <v>74</v>
      </c>
      <c r="C39" s="36">
        <f>SUMIFS(Data!$D$2:$D$151,Data!$B$2:$B$151,C$14,Data!$A$2:$A$151,$A39)</f>
        <v>63</v>
      </c>
      <c r="D39" s="36">
        <f>SUMIFS(Data!$D$2:$D$151,Data!$B$2:$B$151,D$14,Data!$A$2:$A$151,$A39)</f>
        <v>61</v>
      </c>
      <c r="E39" s="36">
        <f>SUMIFS(Data!$D$2:$D$151,Data!$B$2:$B$151,E$14,Data!$A$2:$A$151,$A39)</f>
        <v>46</v>
      </c>
      <c r="F39" s="36">
        <f>SUMIFS(Data!$D$2:$D$151,Data!$B$2:$B$151,F$14,Data!$A$2:$A$151,$A39)</f>
        <v>34</v>
      </c>
      <c r="G39" s="62">
        <f>SUM(B39:F39)</f>
        <v>278</v>
      </c>
      <c r="H39" s="36">
        <f>AVERAGE(G32:G38)</f>
        <v>291.142857142857</v>
      </c>
      <c r="J39" s="37">
        <f>AVERAGE(B32:B38)</f>
        <v>65.8571428571429</v>
      </c>
      <c r="K39" s="37">
        <f>AVERAGE(C32:C38)</f>
        <v>79.8571428571429</v>
      </c>
      <c r="L39" s="37">
        <f>AVERAGE(D32:D38)</f>
        <v>75.1428571428571</v>
      </c>
      <c r="M39" s="37">
        <f>AVERAGE(E32:E38)</f>
        <v>38.5714285714286</v>
      </c>
      <c r="N39" s="37">
        <f>AVERAGE(F32:F38)</f>
        <v>31.7142857142857</v>
      </c>
    </row>
    <row r="40">
      <c r="A40" s="41">
        <f>A39+1</f>
        <v>46291.0</v>
      </c>
      <c r="B40" s="36">
        <f>SUMIFS(Data!$D$2:$D$151,Data!$B$2:$B$151,B$14,Data!$A$2:$A$151,$A40)</f>
        <v>69</v>
      </c>
      <c r="C40" s="36">
        <f>SUMIFS(Data!$D$2:$D$151,Data!$B$2:$B$151,C$14,Data!$A$2:$A$151,$A40)</f>
        <v>57</v>
      </c>
      <c r="D40" s="36">
        <f>SUMIFS(Data!$D$2:$D$151,Data!$B$2:$B$151,D$14,Data!$A$2:$A$151,$A40)</f>
        <v>72</v>
      </c>
      <c r="E40" s="36">
        <f>SUMIFS(Data!$D$2:$D$151,Data!$B$2:$B$151,E$14,Data!$A$2:$A$151,$A40)</f>
        <v>41</v>
      </c>
      <c r="F40" s="36">
        <f>SUMIFS(Data!$D$2:$D$151,Data!$B$2:$B$151,F$14,Data!$A$2:$A$151,$A40)</f>
        <v>23</v>
      </c>
      <c r="G40" s="62">
        <f>SUM(B40:F40)</f>
        <v>262</v>
      </c>
      <c r="H40" s="36">
        <f>AVERAGE(G33:G39)</f>
        <v>291.857142857143</v>
      </c>
      <c r="J40" s="37">
        <f>AVERAGE(B33:B39)</f>
        <v>65.5714285714286</v>
      </c>
      <c r="K40" s="37">
        <f>AVERAGE(C33:C39)</f>
        <v>78.1428571428571</v>
      </c>
      <c r="L40" s="37">
        <f>AVERAGE(D33:D39)</f>
        <v>75.5714285714286</v>
      </c>
      <c r="M40" s="37">
        <f>AVERAGE(E33:E39)</f>
        <v>39.4285714285714</v>
      </c>
      <c r="N40" s="37">
        <f>AVERAGE(F33:F39)</f>
        <v>33.1428571428571</v>
      </c>
    </row>
    <row r="41">
      <c r="A41" s="41">
        <f>A40+1</f>
        <v>46292.0</v>
      </c>
      <c r="B41" s="36">
        <f>SUMIFS(Data!$D$2:$D$151,Data!$B$2:$B$151,B$14,Data!$A$2:$A$151,$A41)</f>
        <v>53</v>
      </c>
      <c r="C41" s="36">
        <f>SUMIFS(Data!$D$2:$D$151,Data!$B$2:$B$151,C$14,Data!$A$2:$A$151,$A41)</f>
        <v>78</v>
      </c>
      <c r="D41" s="36">
        <f>SUMIFS(Data!$D$2:$D$151,Data!$B$2:$B$151,D$14,Data!$A$2:$A$151,$A41)</f>
        <v>103</v>
      </c>
      <c r="E41" s="36">
        <f>SUMIFS(Data!$D$2:$D$151,Data!$B$2:$B$151,E$14,Data!$A$2:$A$151,$A41)</f>
        <v>44</v>
      </c>
      <c r="F41" s="36">
        <f>SUMIFS(Data!$D$2:$D$151,Data!$B$2:$B$151,F$14,Data!$A$2:$A$151,$A41)</f>
        <v>29</v>
      </c>
      <c r="G41" s="62">
        <f>SUM(B41:F41)</f>
        <v>307</v>
      </c>
      <c r="H41" s="36">
        <f>AVERAGE(G34:G40)</f>
        <v>288.142857142857</v>
      </c>
      <c r="J41" s="37">
        <f>AVERAGE(B34:B40)</f>
        <v>68.7142857142857</v>
      </c>
      <c r="K41" s="37">
        <f>AVERAGE(C34:C40)</f>
        <v>74.2857142857143</v>
      </c>
      <c r="L41" s="37">
        <f>AVERAGE(D34:D40)</f>
        <v>73.1428571428571</v>
      </c>
      <c r="M41" s="37">
        <f>AVERAGE(E34:E40)</f>
        <v>40</v>
      </c>
      <c r="N41" s="37">
        <f>AVERAGE(F34:F40)</f>
        <v>32</v>
      </c>
    </row>
    <row r="42">
      <c r="A42" s="41">
        <f>A41+1</f>
        <v>46293.0</v>
      </c>
      <c r="B42" s="36">
        <f>SUMIFS(Data!$D$2:$D$151,Data!$B$2:$B$151,B$14,Data!$A$2:$A$151,$A42)</f>
        <v>56</v>
      </c>
      <c r="C42" s="36">
        <f>SUMIFS(Data!$D$2:$D$151,Data!$B$2:$B$151,C$14,Data!$A$2:$A$151,$A42)</f>
        <v>74</v>
      </c>
      <c r="D42" s="36">
        <f>SUMIFS(Data!$D$2:$D$151,Data!$B$2:$B$151,D$14,Data!$A$2:$A$151,$A42)</f>
        <v>93</v>
      </c>
      <c r="E42" s="36">
        <f>SUMIFS(Data!$D$2:$D$151,Data!$B$2:$B$151,E$14,Data!$A$2:$A$151,$A42)</f>
        <v>50</v>
      </c>
      <c r="F42" s="36">
        <f>SUMIFS(Data!$D$2:$D$151,Data!$B$2:$B$151,F$14,Data!$A$2:$A$151,$A42)</f>
        <v>22</v>
      </c>
      <c r="G42" s="62">
        <f>SUM(B42:F42)</f>
        <v>295</v>
      </c>
      <c r="H42" s="36">
        <f>AVERAGE(G35:G41)</f>
        <v>292.714285714286</v>
      </c>
      <c r="J42" s="37">
        <f>AVERAGE(B35:B41)</f>
        <v>67.5714285714286</v>
      </c>
      <c r="K42" s="37">
        <f>AVERAGE(C35:C41)</f>
        <v>75.1428571428571</v>
      </c>
      <c r="L42" s="37">
        <f>AVERAGE(D35:D41)</f>
        <v>79</v>
      </c>
      <c r="M42" s="37">
        <f>AVERAGE(E35:E41)</f>
        <v>39.8571428571429</v>
      </c>
      <c r="N42" s="37">
        <f>AVERAGE(F35:F41)</f>
        <v>31.1428571428571</v>
      </c>
    </row>
    <row r="43">
      <c r="A43" s="41">
        <f>A42+1</f>
        <v>46294.0</v>
      </c>
      <c r="B43" s="36">
        <f>SUMIFS(Data!$D$2:$D$151,Data!$B$2:$B$151,B$14,Data!$A$2:$A$151,$A43)</f>
        <v>74</v>
      </c>
      <c r="C43" s="36">
        <f>SUMIFS(Data!$D$2:$D$151,Data!$B$2:$B$151,C$14,Data!$A$2:$A$151,$A43)</f>
        <v>87</v>
      </c>
      <c r="D43" s="36">
        <f>SUMIFS(Data!$D$2:$D$151,Data!$B$2:$B$151,D$14,Data!$A$2:$A$151,$A43)</f>
        <v>60</v>
      </c>
      <c r="E43" s="36">
        <f>SUMIFS(Data!$D$2:$D$151,Data!$B$2:$B$151,E$14,Data!$A$2:$A$151,$A43)</f>
        <v>33</v>
      </c>
      <c r="F43" s="36">
        <f>SUMIFS(Data!$D$2:$D$151,Data!$B$2:$B$151,F$14,Data!$A$2:$A$151,$A43)</f>
        <v>27</v>
      </c>
      <c r="G43" s="62">
        <f>SUM(B43:F43)</f>
        <v>281</v>
      </c>
      <c r="H43" s="36">
        <f>AVERAGE(G36:G42)</f>
        <v>295</v>
      </c>
      <c r="J43" s="37">
        <f>AVERAGE(B36:B42)</f>
        <v>67.5714285714286</v>
      </c>
      <c r="K43" s="37">
        <f>AVERAGE(C36:C42)</f>
        <v>75.8571428571429</v>
      </c>
      <c r="L43" s="37">
        <f>AVERAGE(D36:D42)</f>
        <v>79.8571428571429</v>
      </c>
      <c r="M43" s="37">
        <f>AVERAGE(E36:E42)</f>
        <v>41.5714285714286</v>
      </c>
      <c r="N43" s="37">
        <f>AVERAGE(F36:F42)</f>
        <v>30.1428571428571</v>
      </c>
    </row>
    <row r="44">
      <c r="A44" s="41">
        <f>A43+1</f>
        <v>46295.0</v>
      </c>
      <c r="B44" s="36">
        <f>SUMIFS(Data!$D$2:$D$151,Data!$B$2:$B$151,B$14,Data!$A$2:$A$151,$A44)</f>
        <v>49</v>
      </c>
      <c r="C44" s="36">
        <f>SUMIFS(Data!$D$2:$D$151,Data!$B$2:$B$151,C$14,Data!$A$2:$A$151,$A44)</f>
        <v>59</v>
      </c>
      <c r="D44" s="36">
        <f>SUMIFS(Data!$D$2:$D$151,Data!$B$2:$B$151,D$14,Data!$A$2:$A$151,$A44)</f>
        <v>64</v>
      </c>
      <c r="E44" s="36">
        <f>SUMIFS(Data!$D$2:$D$151,Data!$B$2:$B$151,E$14,Data!$A$2:$A$151,$A44)</f>
        <v>43</v>
      </c>
      <c r="F44" s="36">
        <f>SUMIFS(Data!$D$2:$D$151,Data!$B$2:$B$151,F$14,Data!$A$2:$A$151,$A44)</f>
        <v>29</v>
      </c>
      <c r="G44" s="62">
        <f>SUM(B44:F44)</f>
        <v>244</v>
      </c>
      <c r="H44" s="36">
        <f>AVERAGE(G37:G43)</f>
        <v>293</v>
      </c>
      <c r="J44" s="37">
        <f>AVERAGE(B37:B43)</f>
        <v>67.8571428571429</v>
      </c>
      <c r="K44" s="37">
        <f>AVERAGE(C37:C43)</f>
        <v>75.2857142857143</v>
      </c>
      <c r="L44" s="37">
        <f>AVERAGE(D37:D43)</f>
        <v>79.1428571428571</v>
      </c>
      <c r="M44" s="37">
        <f>AVERAGE(E37:E43)</f>
        <v>41.8571428571429</v>
      </c>
      <c r="N44" s="37">
        <f>AVERAGE(F37:F43)</f>
        <v>28.8571428571429</v>
      </c>
    </row>
    <row r="45">
      <c r="A45" s="64">
        <f>A44+1</f>
        <v>46296.0</v>
      </c>
      <c r="B45" s="65" t="n"/>
      <c r="C45" s="65" t="n"/>
      <c r="D45" s="65" t="n"/>
      <c r="E45" s="65" t="n"/>
      <c r="F45" s="65" t="n"/>
      <c r="G45" s="65" t="n"/>
      <c r="H45" s="63">
        <f>AVERAGE($G$38:$G$44)</f>
        <v>285.714285714286</v>
      </c>
      <c r="I45" s="66" t="inlineStr">
        <is>
          <t>Future days ▼ (grey) use the latest 7-day average</t>
        </is>
      </c>
    </row>
    <row r="46">
      <c r="A46" s="67">
        <f>A45+1</f>
        <v>46297.0</v>
      </c>
      <c r="B46" s="65" t="n"/>
      <c r="C46" s="65" t="n"/>
      <c r="D46" s="65" t="n"/>
      <c r="E46" s="65" t="n"/>
      <c r="F46" s="65" t="n"/>
      <c r="G46" s="65" t="n"/>
      <c r="H46" s="63">
        <f>AVERAGE($G$38:$G$44)</f>
        <v>285.714285714286</v>
      </c>
    </row>
    <row r="47">
      <c r="A47" s="67">
        <f>A46+1</f>
        <v>46298.0</v>
      </c>
      <c r="B47" s="65" t="n"/>
      <c r="C47" s="65" t="n"/>
      <c r="D47" s="65" t="n"/>
      <c r="E47" s="65" t="n"/>
      <c r="F47" s="65" t="n"/>
      <c r="G47" s="65" t="n"/>
      <c r="H47" s="63">
        <f>AVERAGE($G$38:$G$44)</f>
        <v>285.714285714286</v>
      </c>
    </row>
    <row r="48">
      <c r="A48" s="67">
        <f>A47+1</f>
        <v>46299.0</v>
      </c>
      <c r="B48" s="65" t="n"/>
      <c r="C48" s="65" t="n"/>
      <c r="D48" s="65" t="n"/>
      <c r="E48" s="65" t="n"/>
      <c r="F48" s="65" t="n"/>
      <c r="G48" s="65" t="n"/>
      <c r="H48" s="63">
        <f>AVERAGE($G$38:$G$44)</f>
        <v>285.714285714286</v>
      </c>
    </row>
    <row r="49">
      <c r="A49" s="67">
        <f>A48+1</f>
        <v>46300.0</v>
      </c>
      <c r="B49" s="65" t="n"/>
      <c r="C49" s="65" t="n"/>
      <c r="D49" s="65" t="n"/>
      <c r="E49" s="65" t="n"/>
      <c r="F49" s="65" t="n"/>
      <c r="G49" s="65" t="n"/>
      <c r="H49" s="63">
        <f>AVERAGE($G$38:$G$44)</f>
        <v>285.714285714286</v>
      </c>
    </row>
    <row r="50">
      <c r="A50" s="67">
        <f>A49+1</f>
        <v>46301.0</v>
      </c>
      <c r="B50" s="65" t="n"/>
      <c r="C50" s="65" t="n"/>
      <c r="D50" s="65" t="n"/>
      <c r="E50" s="65" t="n"/>
      <c r="F50" s="65" t="n"/>
      <c r="G50" s="65" t="n"/>
      <c r="H50" s="63">
        <f>AVERAGE($G$38:$G$44)</f>
        <v>285.714285714286</v>
      </c>
    </row>
    <row r="51">
      <c r="A51" s="67">
        <f>A50+1</f>
        <v>46302.0</v>
      </c>
      <c r="B51" s="65" t="n"/>
      <c r="C51" s="65" t="n"/>
      <c r="D51" s="65" t="n"/>
      <c r="E51" s="65" t="n"/>
      <c r="F51" s="65" t="n"/>
      <c r="G51" s="65" t="n"/>
      <c r="H51" s="63">
        <f>AVERAGE($G$38:$G$44)</f>
        <v>285.714285714286</v>
      </c>
    </row>
    <row r="52">
      <c r="A52" s="67">
        <f>A51+1</f>
        <v>46303.0</v>
      </c>
      <c r="B52" s="65" t="n"/>
      <c r="C52" s="65" t="n"/>
      <c r="D52" s="65" t="n"/>
      <c r="E52" s="65" t="n"/>
      <c r="F52" s="65" t="n"/>
      <c r="G52" s="65" t="n"/>
      <c r="H52" s="63">
        <f>AVERAGE($G$38:$G$44)</f>
        <v>285.714285714286</v>
      </c>
    </row>
    <row r="53">
      <c r="A53" s="67">
        <f>A52+1</f>
        <v>46304.0</v>
      </c>
      <c r="B53" s="65" t="n"/>
      <c r="C53" s="65" t="n"/>
      <c r="D53" s="65" t="n"/>
      <c r="E53" s="65" t="n"/>
      <c r="F53" s="65" t="n"/>
      <c r="G53" s="65" t="n"/>
      <c r="H53" s="63">
        <f>AVERAGE($G$38:$G$44)</f>
        <v>285.714285714286</v>
      </c>
    </row>
    <row r="54">
      <c r="A54" s="67">
        <f>A53+1</f>
        <v>46305.0</v>
      </c>
      <c r="B54" s="65" t="n"/>
      <c r="C54" s="65" t="n"/>
      <c r="D54" s="65" t="n"/>
      <c r="E54" s="65" t="n"/>
      <c r="F54" s="65" t="n"/>
      <c r="G54" s="65" t="n"/>
      <c r="H54" s="63">
        <f>AVERAGE($G$38:$G$44)</f>
        <v>285.714285714286</v>
      </c>
    </row>
    <row r="55">
      <c r="A55" s="67">
        <f>A54+1</f>
        <v>46306.0</v>
      </c>
      <c r="B55" s="65" t="n"/>
      <c r="C55" s="65" t="n"/>
      <c r="D55" s="65" t="n"/>
      <c r="E55" s="65" t="n"/>
      <c r="F55" s="65" t="n"/>
      <c r="G55" s="65" t="n"/>
      <c r="H55" s="63">
        <f>AVERAGE($G$38:$G$44)</f>
        <v>285.714285714286</v>
      </c>
    </row>
    <row r="56">
      <c r="A56" s="67">
        <f>A55+1</f>
        <v>46307.0</v>
      </c>
      <c r="B56" s="65" t="n"/>
      <c r="C56" s="65" t="n"/>
      <c r="D56" s="65" t="n"/>
      <c r="E56" s="65" t="n"/>
      <c r="F56" s="65" t="n"/>
      <c r="G56" s="65" t="n"/>
      <c r="H56" s="63">
        <f>AVERAGE($G$38:$G$44)</f>
        <v>285.714285714286</v>
      </c>
    </row>
    <row r="57">
      <c r="A57" s="67">
        <f>A56+1</f>
        <v>46308.0</v>
      </c>
      <c r="B57" s="65" t="n"/>
      <c r="C57" s="65" t="n"/>
      <c r="D57" s="65" t="n"/>
      <c r="E57" s="65" t="n"/>
      <c r="F57" s="65" t="n"/>
      <c r="G57" s="65" t="n"/>
      <c r="H57" s="63">
        <f>AVERAGE($G$38:$G$44)</f>
        <v>285.714285714286</v>
      </c>
    </row>
    <row r="58">
      <c r="A58" s="67">
        <f>A57+1</f>
        <v>46309.0</v>
      </c>
      <c r="B58" s="65" t="n"/>
      <c r="C58" s="65" t="n"/>
      <c r="D58" s="65" t="n"/>
      <c r="E58" s="65" t="n"/>
      <c r="F58" s="65" t="n"/>
      <c r="G58" s="65" t="n"/>
      <c r="H58" s="63">
        <f>AVERAGE($G$38:$G$44)</f>
        <v>285.714285714286</v>
      </c>
    </row>
  </sheetData>
  <mergeCells count="4">
    <mergeCell ref="A13:N13"/>
    <mergeCell ref="A3:N3"/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T4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  <col width="13.5" customWidth="1" min="19" max="19"/>
    <col width="13.5" customWidth="1" min="20" max="20"/>
  </cols>
  <sheetData>
    <row r="1" ht="34" customHeight="1">
      <c r="A1" s="57" t="inlineStr">
        <is>
          <t>2 · Inventory, Safety Stock &amp; Reorder Point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Safety stock = Z × demand std. dev. × √lead time.   Reorder point = avg daily demand × lead time + safety stock.   Yellow cells can be changed.</t>
        </is>
      </c>
    </row>
    <row r="3">
      <c r="A3" s="68" t="inlineStr">
        <is>
          <t>Service level (target)</t>
        </is>
      </c>
      <c r="B3" s="69" t="n">
        <v>0.95</v>
      </c>
      <c r="C3" s="33" t="inlineStr">
        <is>
          <t>Chance of NOT running out of stock in a lead time (assumption)</t>
        </is>
      </c>
    </row>
    <row r="4">
      <c r="A4" s="68" t="inlineStr">
        <is>
          <t>Order cycle (days)</t>
        </is>
      </c>
      <c r="B4" s="31" t="n">
        <v>4</v>
      </c>
      <c r="C4" s="33" t="inlineStr">
        <is>
          <t>How often we place an order for each product (assumption)</t>
        </is>
      </c>
    </row>
    <row r="5">
      <c r="A5" s="68" t="inlineStr">
        <is>
          <t>Z-value</t>
        </is>
      </c>
      <c r="B5" s="70">
        <f>NORMSINV(B3)</f>
        <v>1.64485362695147</v>
      </c>
      <c r="C5" s="33" t="n"/>
    </row>
    <row r="8" ht="58" customHeight="1">
      <c r="A8" s="34" t="inlineStr">
        <is>
          <t>Product</t>
        </is>
      </c>
      <c r="B8" s="34" t="inlineStr">
        <is>
          <t>Avg daily demand (kg)</t>
        </is>
      </c>
      <c r="C8" s="34" t="inlineStr">
        <is>
          <t>Demand std. dev. (kg)</t>
        </is>
      </c>
      <c r="D8" s="34" t="inlineStr">
        <is>
          <t>Lead time (days)</t>
        </is>
      </c>
      <c r="E8" s="34" t="inlineStr">
        <is>
          <t>Safety stock – recommended (kg)</t>
        </is>
      </c>
      <c r="F8" s="34" t="inlineStr">
        <is>
          <t>Safety stock – current (kg)</t>
        </is>
      </c>
      <c r="G8" s="34" t="inlineStr">
        <is>
          <t>Reorder point – recommended (kg)</t>
        </is>
      </c>
      <c r="H8" s="34" t="inlineStr">
        <is>
          <t>Reorder point – current (kg)</t>
        </is>
      </c>
      <c r="I8" s="34" t="inlineStr">
        <is>
          <t>Stock now, 30-Sep (kg)</t>
        </is>
      </c>
      <c r="J8" s="34" t="inlineStr">
        <is>
          <t>Days of cover now</t>
        </is>
      </c>
      <c r="K8" s="34" t="inlineStr">
        <is>
          <t>Stock status</t>
        </is>
      </c>
      <c r="L8" s="34" t="inlineStr">
        <is>
          <t>Order in (days)</t>
        </is>
      </c>
      <c r="M8" s="34" t="inlineStr">
        <is>
          <t>Next order date</t>
        </is>
      </c>
      <c r="N8" s="34" t="inlineStr">
        <is>
          <t>Suggested order qty (kg)</t>
        </is>
      </c>
      <c r="O8" s="34" t="inlineStr">
        <is>
          <t>Avg stock held (kg)</t>
        </is>
      </c>
      <c r="P8" s="34" t="inlineStr">
        <is>
          <t>Target avg stock (kg)</t>
        </is>
      </c>
      <c r="Q8" s="34" t="inlineStr">
        <is>
          <t>Excess stock (kg)</t>
        </is>
      </c>
      <c r="R8" s="34" t="inlineStr">
        <is>
          <t>Stockout days</t>
        </is>
      </c>
      <c r="S8" s="34" t="inlineStr">
        <is>
          <t>Avg fill rate</t>
        </is>
      </c>
      <c r="T8" s="34" t="inlineStr">
        <is>
          <t>Days below reorder pt</t>
        </is>
      </c>
    </row>
    <row r="9">
      <c r="A9" s="58" t="inlineStr">
        <is>
          <t>Tomato</t>
        </is>
      </c>
      <c r="B9" s="37">
        <f>AVERAGEIFS(Data!$D$2:$D$151,Data!$B$2:$B$151,$A9)</f>
        <v>60.5666666666667</v>
      </c>
      <c r="C9" s="37">
        <f>SQRT(SUMPRODUCT((Data!$B$2:$B$151=$A9)*(Data!$D$2:$D$151-B9)^2)/(COUNTIF(Data!$B$2:$B$151,$A9)-1))</f>
        <v>10.1154826135853</v>
      </c>
      <c r="D9" s="39">
        <f>AVERAGEIFS(Data!$G$2:$G$151,Data!$B$2:$B$151,$A9)</f>
        <v>3</v>
      </c>
      <c r="E9" s="36">
        <f>ROUND($B$5*C9*SQRT(D9),0)</f>
        <v>29</v>
      </c>
      <c r="F9" s="36">
        <f>AVERAGEIFS(Data!$I$2:$I$151,Data!$B$2:$B$151,$A9)</f>
        <v>51.8666666666667</v>
      </c>
      <c r="G9" s="36">
        <f>ROUND(B9*D9+E9,0)</f>
        <v>211</v>
      </c>
      <c r="H9" s="36">
        <f>AVERAGEIFS(Data!$J$2:$J$151,Data!$B$2:$B$151,$A9)</f>
        <v>231.366666666667</v>
      </c>
      <c r="I9" s="36">
        <f>SUMIFS(Data!$F$2:$F$151,Data!$B$2:$B$151,$A9,Data!$A$2:$A$151,MAX(Data!$A$2:$A$151))</f>
        <v>349</v>
      </c>
      <c r="J9" s="39">
        <f>I9/B9</f>
        <v>5.76224545954871</v>
      </c>
      <c r="K9" s="40" t="str">
        <f>IF(I9&lt;G9,"ORDER NOW",IF(I9&lt;G9*1.2,"WATCH","OK"))</f>
        <v>OK</v>
      </c>
      <c r="L9" s="39">
        <f>MAX(0,(I9-G9)/B9)</f>
        <v>2.27848101265823</v>
      </c>
      <c r="M9" s="41">
        <f>MAX(Data!$A$2:$A$151)+ROUNDDOWN(L9,0)</f>
        <v>46297.0</v>
      </c>
      <c r="N9" s="36">
        <f>CEILING(B9*$B$4,10)</f>
        <v>250</v>
      </c>
      <c r="O9" s="36">
        <f>AVERAGEIFS(Data!$F$2:$F$151,Data!$B$2:$B$151,$A9)</f>
        <v>317.9</v>
      </c>
      <c r="P9" s="36">
        <f>E9+N9/2</f>
        <v>154</v>
      </c>
      <c r="Q9" s="36">
        <f>MAX(0,O9-P9)</f>
        <v>163.9</v>
      </c>
      <c r="R9" s="43">
        <f>SUMIFS(Data!$P$2:$P$151,Data!$B$2:$B$151,$A9)</f>
        <v>0</v>
      </c>
      <c r="S9" s="42">
        <f>AVERAGEIFS(Data!$L$2:$L$151,Data!$B$2:$B$151,$A9)</f>
        <v>1</v>
      </c>
      <c r="T9" s="43">
        <f>SUMIFS(Data!$O$2:$O$151,Data!$B$2:$B$151,$A9)</f>
        <v>7</v>
      </c>
    </row>
    <row r="10">
      <c r="A10" s="58" t="inlineStr">
        <is>
          <t>Onion</t>
        </is>
      </c>
      <c r="B10" s="37">
        <f>AVERAGEIFS(Data!$D$2:$D$151,Data!$B$2:$B$151,$A10)</f>
        <v>72.8</v>
      </c>
      <c r="C10" s="37">
        <f>SQRT(SUMPRODUCT((Data!$B$2:$B$151=$A10)*(Data!$D$2:$D$151-B10)^2)/(COUNTIF(Data!$B$2:$B$151,$A10)-1))</f>
        <v>10.4432786501901</v>
      </c>
      <c r="D10" s="39">
        <f>AVERAGEIFS(Data!$G$2:$G$151,Data!$B$2:$B$151,$A10)</f>
        <v>4</v>
      </c>
      <c r="E10" s="36">
        <f>ROUND($B$5*C10*SQRT(D10),0)</f>
        <v>34</v>
      </c>
      <c r="F10" s="36">
        <f>AVERAGEIFS(Data!$I$2:$I$151,Data!$B$2:$B$151,$A10)</f>
        <v>73.1333333333333</v>
      </c>
      <c r="G10" s="36">
        <f>ROUND(B10*D10+E10,0)</f>
        <v>325</v>
      </c>
      <c r="H10" s="36">
        <f>AVERAGEIFS(Data!$J$2:$J$151,Data!$B$2:$B$151,$A10)</f>
        <v>366</v>
      </c>
      <c r="I10" s="36">
        <f>SUMIFS(Data!$F$2:$F$151,Data!$B$2:$B$151,$A10,Data!$A$2:$A$151,MAX(Data!$A$2:$A$151))</f>
        <v>584</v>
      </c>
      <c r="J10" s="39">
        <f>I10/B10</f>
        <v>8.02197802197802</v>
      </c>
      <c r="K10" s="40" t="str">
        <f>IF(I10&lt;G10,"ORDER NOW",IF(I10&lt;G10*1.2,"WATCH","OK"))</f>
        <v>OK</v>
      </c>
      <c r="L10" s="39">
        <f>MAX(0,(I10-G10)/B10)</f>
        <v>3.55769230769231</v>
      </c>
      <c r="M10" s="41">
        <f>MAX(Data!$A$2:$A$151)+ROUNDDOWN(L10,0)</f>
        <v>46298.0</v>
      </c>
      <c r="N10" s="36">
        <f>CEILING(B10*$B$4,10)</f>
        <v>300</v>
      </c>
      <c r="O10" s="36">
        <f>AVERAGEIFS(Data!$F$2:$F$151,Data!$B$2:$B$151,$A10)</f>
        <v>500.833333333333</v>
      </c>
      <c r="P10" s="36">
        <f>E10+N10/2</f>
        <v>184</v>
      </c>
      <c r="Q10" s="36">
        <f>MAX(0,O10-P10)</f>
        <v>316.833333333333</v>
      </c>
      <c r="R10" s="43">
        <f>SUMIFS(Data!$P$2:$P$151,Data!$B$2:$B$151,$A10)</f>
        <v>0</v>
      </c>
      <c r="S10" s="42">
        <f>AVERAGEIFS(Data!$L$2:$L$151,Data!$B$2:$B$151,$A10)</f>
        <v>1</v>
      </c>
      <c r="T10" s="43">
        <f>SUMIFS(Data!$O$2:$O$151,Data!$B$2:$B$151,$A10)</f>
        <v>5</v>
      </c>
    </row>
    <row r="11">
      <c r="A11" s="58" t="inlineStr">
        <is>
          <t>Potato</t>
        </is>
      </c>
      <c r="B11" s="37">
        <f>AVERAGEIFS(Data!$D$2:$D$151,Data!$B$2:$B$151,$A11)</f>
        <v>79.0333333333333</v>
      </c>
      <c r="C11" s="37">
        <f>SQRT(SUMPRODUCT((Data!$B$2:$B$151=$A11)*(Data!$D$2:$D$151-B11)^2)/(COUNTIF(Data!$B$2:$B$151,$A11)-1))</f>
        <v>14.3250042627022</v>
      </c>
      <c r="D11" s="39">
        <f>AVERAGEIFS(Data!$G$2:$G$151,Data!$B$2:$B$151,$A11)</f>
        <v>4</v>
      </c>
      <c r="E11" s="36">
        <f>ROUND($B$5*C11*SQRT(D11),0)</f>
        <v>47</v>
      </c>
      <c r="F11" s="36">
        <f>AVERAGEIFS(Data!$I$2:$I$151,Data!$B$2:$B$151,$A11)</f>
        <v>79.4666666666667</v>
      </c>
      <c r="G11" s="36">
        <f>ROUND(B11*D11+E11,0)</f>
        <v>363</v>
      </c>
      <c r="H11" s="36">
        <f>AVERAGEIFS(Data!$J$2:$J$151,Data!$B$2:$B$151,$A11)</f>
        <v>397.233333333333</v>
      </c>
      <c r="I11" s="36">
        <f>SUMIFS(Data!$F$2:$F$151,Data!$B$2:$B$151,$A11,Data!$A$2:$A$151,MAX(Data!$A$2:$A$151))</f>
        <v>745</v>
      </c>
      <c r="J11" s="39">
        <f>I11/B11</f>
        <v>9.42640236187263</v>
      </c>
      <c r="K11" s="40" t="str">
        <f>IF(I11&lt;G11,"ORDER NOW",IF(I11&lt;G11*1.2,"WATCH","OK"))</f>
        <v>OK</v>
      </c>
      <c r="L11" s="39">
        <f>MAX(0,(I11-G11)/B11)</f>
        <v>4.83340362716154</v>
      </c>
      <c r="M11" s="41">
        <f>MAX(Data!$A$2:$A$151)+ROUNDDOWN(L11,0)</f>
        <v>46299.0</v>
      </c>
      <c r="N11" s="36">
        <f>CEILING(B11*$B$4,10)</f>
        <v>320</v>
      </c>
      <c r="O11" s="36">
        <f>AVERAGEIFS(Data!$F$2:$F$151,Data!$B$2:$B$151,$A11)</f>
        <v>550.166666666667</v>
      </c>
      <c r="P11" s="36">
        <f>E11+N11/2</f>
        <v>207</v>
      </c>
      <c r="Q11" s="36">
        <f>MAX(0,O11-P11)</f>
        <v>343.166666666667</v>
      </c>
      <c r="R11" s="43">
        <f>SUMIFS(Data!$P$2:$P$151,Data!$B$2:$B$151,$A11)</f>
        <v>0</v>
      </c>
      <c r="S11" s="42">
        <f>AVERAGEIFS(Data!$L$2:$L$151,Data!$B$2:$B$151,$A11)</f>
        <v>1</v>
      </c>
      <c r="T11" s="43">
        <f>SUMIFS(Data!$O$2:$O$151,Data!$B$2:$B$151,$A11)</f>
        <v>6</v>
      </c>
    </row>
    <row r="12">
      <c r="A12" s="58" t="inlineStr">
        <is>
          <t>Cucumber</t>
        </is>
      </c>
      <c r="B12" s="37">
        <f>AVERAGEIFS(Data!$D$2:$D$151,Data!$B$2:$B$151,$A12)</f>
        <v>39.5666666666667</v>
      </c>
      <c r="C12" s="37">
        <f>SQRT(SUMPRODUCT((Data!$B$2:$B$151=$A12)*(Data!$D$2:$D$151-B12)^2)/(COUNTIF(Data!$B$2:$B$151,$A12)-1))</f>
        <v>6.69885905536743</v>
      </c>
      <c r="D12" s="39">
        <f>AVERAGEIFS(Data!$G$2:$G$151,Data!$B$2:$B$151,$A12)</f>
        <v>2</v>
      </c>
      <c r="E12" s="36">
        <f>ROUND($B$5*C12*SQRT(D12),0)</f>
        <v>16</v>
      </c>
      <c r="F12" s="36">
        <f>AVERAGEIFS(Data!$I$2:$I$151,Data!$B$2:$B$151,$A12)</f>
        <v>27.3</v>
      </c>
      <c r="G12" s="36">
        <f>ROUND(B12*D12+E12,0)</f>
        <v>95</v>
      </c>
      <c r="H12" s="36">
        <f>AVERAGEIFS(Data!$J$2:$J$151,Data!$B$2:$B$151,$A12)</f>
        <v>104.666666666667</v>
      </c>
      <c r="I12" s="36">
        <f>SUMIFS(Data!$F$2:$F$151,Data!$B$2:$B$151,$A12,Data!$A$2:$A$151,MAX(Data!$A$2:$A$151))</f>
        <v>129</v>
      </c>
      <c r="J12" s="39">
        <f>I12/B12</f>
        <v>3.2603201347936</v>
      </c>
      <c r="K12" s="40" t="str">
        <f>IF(I12&lt;G12,"ORDER NOW",IF(I12&lt;G12*1.2,"WATCH","OK"))</f>
        <v>OK</v>
      </c>
      <c r="L12" s="39">
        <f>MAX(0,(I12-G12)/B12)</f>
        <v>0.859309182813816</v>
      </c>
      <c r="M12" s="41">
        <f>MAX(Data!$A$2:$A$151)+ROUNDDOWN(L12,0)</f>
        <v>46295.0</v>
      </c>
      <c r="N12" s="36">
        <f>CEILING(B12*$B$4,10)</f>
        <v>160</v>
      </c>
      <c r="O12" s="36">
        <f>AVERAGEIFS(Data!$F$2:$F$151,Data!$B$2:$B$151,$A12)</f>
        <v>140.1</v>
      </c>
      <c r="P12" s="36">
        <f>E12+N12/2</f>
        <v>96</v>
      </c>
      <c r="Q12" s="36">
        <f>MAX(0,O12-P12)</f>
        <v>44.1</v>
      </c>
      <c r="R12" s="43">
        <f>SUMIFS(Data!$P$2:$P$151,Data!$B$2:$B$151,$A12)</f>
        <v>0</v>
      </c>
      <c r="S12" s="42">
        <f>AVERAGEIFS(Data!$L$2:$L$151,Data!$B$2:$B$151,$A12)</f>
        <v>1</v>
      </c>
      <c r="T12" s="43">
        <f>SUMIFS(Data!$O$2:$O$151,Data!$B$2:$B$151,$A12)</f>
        <v>8</v>
      </c>
    </row>
    <row r="13">
      <c r="A13" s="58" t="inlineStr">
        <is>
          <t>Capsicum</t>
        </is>
      </c>
      <c r="B13" s="37">
        <f>AVERAGEIFS(Data!$D$2:$D$151,Data!$B$2:$B$151,$A13)</f>
        <v>30.6666666666667</v>
      </c>
      <c r="C13" s="37">
        <f>SQRT(SUMPRODUCT((Data!$B$2:$B$151=$A13)*(Data!$D$2:$D$151-B13)^2)/(COUNTIF(Data!$B$2:$B$151,$A13)-1))</f>
        <v>4.97118131616228</v>
      </c>
      <c r="D13" s="39">
        <f>AVERAGEIFS(Data!$G$2:$G$151,Data!$B$2:$B$151,$A13)</f>
        <v>3</v>
      </c>
      <c r="E13" s="36">
        <f>ROUND($B$5*C13*SQRT(D13),0)</f>
        <v>14</v>
      </c>
      <c r="F13" s="36">
        <f>AVERAGEIFS(Data!$I$2:$I$151,Data!$B$2:$B$151,$A13)</f>
        <v>26.9</v>
      </c>
      <c r="G13" s="36">
        <f>ROUND(B13*D13+E13,0)</f>
        <v>106</v>
      </c>
      <c r="H13" s="36">
        <f>AVERAGEIFS(Data!$J$2:$J$151,Data!$B$2:$B$151,$A13)</f>
        <v>120.033333333333</v>
      </c>
      <c r="I13" s="36">
        <f>SUMIFS(Data!$F$2:$F$151,Data!$B$2:$B$151,$A13,Data!$A$2:$A$151,MAX(Data!$A$2:$A$151))</f>
        <v>87</v>
      </c>
      <c r="J13" s="39">
        <f>I13/B13</f>
        <v>2.83695652173913</v>
      </c>
      <c r="K13" s="40" t="str">
        <f>IF(I13&lt;G13,"ORDER NOW",IF(I13&lt;G13*1.2,"WATCH","OK"))</f>
        <v>ORDER NOW</v>
      </c>
      <c r="L13" s="39">
        <f>MAX(0,(I13-G13)/B13)</f>
        <v>0</v>
      </c>
      <c r="M13" s="41">
        <f>MAX(Data!$A$2:$A$151)+ROUNDDOWN(L13,0)</f>
        <v>46295.0</v>
      </c>
      <c r="N13" s="36">
        <f>CEILING(B13*$B$4,10)</f>
        <v>130</v>
      </c>
      <c r="O13" s="36">
        <f>AVERAGEIFS(Data!$F$2:$F$151,Data!$B$2:$B$151,$A13)</f>
        <v>160.8</v>
      </c>
      <c r="P13" s="36">
        <f>E13+N13/2</f>
        <v>79</v>
      </c>
      <c r="Q13" s="36">
        <f>MAX(0,O13-P13)</f>
        <v>81.8</v>
      </c>
      <c r="R13" s="43">
        <f>SUMIFS(Data!$P$2:$P$151,Data!$B$2:$B$151,$A13)</f>
        <v>0</v>
      </c>
      <c r="S13" s="42">
        <f>AVERAGEIFS(Data!$L$2:$L$151,Data!$B$2:$B$151,$A13)</f>
        <v>1</v>
      </c>
      <c r="T13" s="43">
        <f>SUMIFS(Data!$O$2:$O$151,Data!$B$2:$B$151,$A13)</f>
        <v>6</v>
      </c>
    </row>
    <row r="14">
      <c r="A14" s="48" t="inlineStr">
        <is>
          <t>Total</t>
        </is>
      </c>
      <c r="B14" s="50">
        <f>SUM(B9:B13)</f>
        <v>282.633333333333</v>
      </c>
      <c r="C14" s="50" t="n"/>
      <c r="D14" s="52" t="n"/>
      <c r="E14" s="49">
        <f>SUM(E9:E13)</f>
        <v>140</v>
      </c>
      <c r="F14" s="49">
        <f>SUM(F9:F13)</f>
        <v>258.666666666667</v>
      </c>
      <c r="G14" s="49">
        <f>SUM(G9:G13)</f>
        <v>1100</v>
      </c>
      <c r="H14" s="49">
        <f>SUM(H9:H13)</f>
        <v>1219.3</v>
      </c>
      <c r="I14" s="49">
        <f>SUM(I9:I13)</f>
        <v>1894</v>
      </c>
      <c r="J14" s="52">
        <f>I14/B14</f>
        <v>6.70126194126666</v>
      </c>
      <c r="K14" s="53" t="n"/>
      <c r="L14" s="52" t="n"/>
      <c r="M14" s="54" t="n"/>
      <c r="N14" s="49">
        <f>SUM(N9:N13)</f>
        <v>1160</v>
      </c>
      <c r="O14" s="49">
        <f>SUM(O9:O13)</f>
        <v>1669.8</v>
      </c>
      <c r="P14" s="49">
        <f>SUM(P9:P13)</f>
        <v>720</v>
      </c>
      <c r="Q14" s="49">
        <f>SUM(Q9:Q13)</f>
        <v>949.8</v>
      </c>
      <c r="R14" s="56">
        <f>SUM(R9:R13)</f>
        <v>0</v>
      </c>
      <c r="S14" s="55">
        <f>AVERAGE(Data!$L$2:$L$151)</f>
        <v>1</v>
      </c>
      <c r="T14" s="56">
        <f>SUM(T9:T13)</f>
        <v>32</v>
      </c>
    </row>
    <row r="15">
      <c r="A15" s="33" t="inlineStr">
        <is>
          <t>Target avg stock = recommended safety stock + half an order (the average level if we order every cycle).  Excess = average stock held above that target.  Status: ORDER NOW = below reorder point; WATCH = within 20% above it.</t>
        </is>
      </c>
    </row>
    <row r="17" ht="22" customHeight="1">
      <c r="A17" s="20" t="inlineStr">
        <is>
          <t>Stock tracker for the product selected on the Dashboard (feeds the chart)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9" ht="34" customHeight="1">
      <c r="A19" s="34" t="inlineStr">
        <is>
          <t>Date</t>
        </is>
      </c>
      <c r="B19" s="34" t="str">
        <f>Dashboard!$D$33&amp;" closing stock"</f>
        <v>Tomato closing stock</v>
      </c>
      <c r="C19" s="34" t="inlineStr">
        <is>
          <t>Stock received (kg)</t>
        </is>
      </c>
      <c r="D19" s="34" t="inlineStr">
        <is>
          <t>Reorder point (kg)</t>
        </is>
      </c>
      <c r="E19" s="34" t="inlineStr">
        <is>
          <t>Safety stock (kg)</t>
        </is>
      </c>
      <c r="F19" s="34" t="inlineStr">
        <is>
          <t>Demand (kg)</t>
        </is>
      </c>
    </row>
    <row r="20">
      <c r="A20" s="41">
        <f>Demand!A15</f>
        <v>46266.0</v>
      </c>
      <c r="B20" s="36">
        <f>SUMIFS(Data!$F$2:$F$151,Data!$B$2:$B$151,Dashboard!$D$33,Data!$A$2:$A$151,$A20)</f>
        <v>322</v>
      </c>
      <c r="C20" s="36">
        <f>SUMIFS(Data!$E$2:$E$151,Data!$B$2:$B$151,Dashboard!$D$33,Data!$A$2:$A$151,$A20)</f>
        <v>0</v>
      </c>
      <c r="D20" s="36">
        <f>INDEX($G$9:$G$13,MATCH(Dashboard!$D$33,$A$9:$A$13,0))</f>
        <v>211</v>
      </c>
      <c r="E20" s="36">
        <f>INDEX($E$9:$E$13,MATCH(Dashboard!$D$33,$A$9:$A$13,0))</f>
        <v>29</v>
      </c>
      <c r="F20" s="36">
        <f>SUMIFS(Data!$D$2:$D$151,Data!$B$2:$B$151,Dashboard!$D$33,Data!$A$2:$A$151,$A20)</f>
        <v>48</v>
      </c>
    </row>
    <row r="21">
      <c r="A21" s="41">
        <f>Demand!A16</f>
        <v>46267.0</v>
      </c>
      <c r="B21" s="36">
        <f>SUMIFS(Data!$F$2:$F$151,Data!$B$2:$B$151,Dashboard!$D$33,Data!$A$2:$A$151,$A21)</f>
        <v>263</v>
      </c>
      <c r="C21" s="36">
        <f>SUMIFS(Data!$E$2:$E$151,Data!$B$2:$B$151,Dashboard!$D$33,Data!$A$2:$A$151,$A21)</f>
        <v>0</v>
      </c>
      <c r="D21" s="36">
        <f>INDEX($G$9:$G$13,MATCH(Dashboard!$D$33,$A$9:$A$13,0))</f>
        <v>211</v>
      </c>
      <c r="E21" s="36">
        <f>INDEX($E$9:$E$13,MATCH(Dashboard!$D$33,$A$9:$A$13,0))</f>
        <v>29</v>
      </c>
      <c r="F21" s="36">
        <f>SUMIFS(Data!$D$2:$D$151,Data!$B$2:$B$151,Dashboard!$D$33,Data!$A$2:$A$151,$A21)</f>
        <v>59</v>
      </c>
    </row>
    <row r="22">
      <c r="A22" s="41">
        <f>Demand!A17</f>
        <v>46268.0</v>
      </c>
      <c r="B22" s="36">
        <f>SUMIFS(Data!$F$2:$F$151,Data!$B$2:$B$151,Dashboard!$D$33,Data!$A$2:$A$151,$A22)</f>
        <v>197</v>
      </c>
      <c r="C22" s="36">
        <f>SUMIFS(Data!$E$2:$E$151,Data!$B$2:$B$151,Dashboard!$D$33,Data!$A$2:$A$151,$A22)</f>
        <v>0</v>
      </c>
      <c r="D22" s="36">
        <f>INDEX($G$9:$G$13,MATCH(Dashboard!$D$33,$A$9:$A$13,0))</f>
        <v>211</v>
      </c>
      <c r="E22" s="36">
        <f>INDEX($E$9:$E$13,MATCH(Dashboard!$D$33,$A$9:$A$13,0))</f>
        <v>29</v>
      </c>
      <c r="F22" s="36">
        <f>SUMIFS(Data!$D$2:$D$151,Data!$B$2:$B$151,Dashboard!$D$33,Data!$A$2:$A$151,$A22)</f>
        <v>66</v>
      </c>
    </row>
    <row r="23">
      <c r="A23" s="41">
        <f>Demand!A18</f>
        <v>46269.0</v>
      </c>
      <c r="B23" s="36">
        <f>SUMIFS(Data!$F$2:$F$151,Data!$B$2:$B$151,Dashboard!$D$33,Data!$A$2:$A$151,$A23)</f>
        <v>410</v>
      </c>
      <c r="C23" s="36">
        <f>SUMIFS(Data!$E$2:$E$151,Data!$B$2:$B$151,Dashboard!$D$33,Data!$A$2:$A$151,$A23)</f>
        <v>288</v>
      </c>
      <c r="D23" s="36">
        <f>INDEX($G$9:$G$13,MATCH(Dashboard!$D$33,$A$9:$A$13,0))</f>
        <v>211</v>
      </c>
      <c r="E23" s="36">
        <f>INDEX($E$9:$E$13,MATCH(Dashboard!$D$33,$A$9:$A$13,0))</f>
        <v>29</v>
      </c>
      <c r="F23" s="36">
        <f>SUMIFS(Data!$D$2:$D$151,Data!$B$2:$B$151,Dashboard!$D$33,Data!$A$2:$A$151,$A23)</f>
        <v>75</v>
      </c>
    </row>
    <row r="24">
      <c r="A24" s="41">
        <f>Demand!A19</f>
        <v>46270.0</v>
      </c>
      <c r="B24" s="36">
        <f>SUMIFS(Data!$F$2:$F$151,Data!$B$2:$B$151,Dashboard!$D$33,Data!$A$2:$A$151,$A24)</f>
        <v>361</v>
      </c>
      <c r="C24" s="36">
        <f>SUMIFS(Data!$E$2:$E$151,Data!$B$2:$B$151,Dashboard!$D$33,Data!$A$2:$A$151,$A24)</f>
        <v>0</v>
      </c>
      <c r="D24" s="36">
        <f>INDEX($G$9:$G$13,MATCH(Dashboard!$D$33,$A$9:$A$13,0))</f>
        <v>211</v>
      </c>
      <c r="E24" s="36">
        <f>INDEX($E$9:$E$13,MATCH(Dashboard!$D$33,$A$9:$A$13,0))</f>
        <v>29</v>
      </c>
      <c r="F24" s="36">
        <f>SUMIFS(Data!$D$2:$D$151,Data!$B$2:$B$151,Dashboard!$D$33,Data!$A$2:$A$151,$A24)</f>
        <v>49</v>
      </c>
    </row>
    <row r="25">
      <c r="A25" s="41">
        <f>Demand!A20</f>
        <v>46271.0</v>
      </c>
      <c r="B25" s="36">
        <f>SUMIFS(Data!$F$2:$F$151,Data!$B$2:$B$151,Dashboard!$D$33,Data!$A$2:$A$151,$A25)</f>
        <v>247</v>
      </c>
      <c r="C25" s="36">
        <f>SUMIFS(Data!$E$2:$E$151,Data!$B$2:$B$151,Dashboard!$D$33,Data!$A$2:$A$151,$A25)</f>
        <v>0</v>
      </c>
      <c r="D25" s="36">
        <f>INDEX($G$9:$G$13,MATCH(Dashboard!$D$33,$A$9:$A$13,0))</f>
        <v>211</v>
      </c>
      <c r="E25" s="36">
        <f>INDEX($E$9:$E$13,MATCH(Dashboard!$D$33,$A$9:$A$13,0))</f>
        <v>29</v>
      </c>
      <c r="F25" s="36">
        <f>SUMIFS(Data!$D$2:$D$151,Data!$B$2:$B$151,Dashboard!$D$33,Data!$A$2:$A$151,$A25)</f>
        <v>52</v>
      </c>
    </row>
    <row r="26">
      <c r="A26" s="41">
        <f>Demand!A21</f>
        <v>46272.0</v>
      </c>
      <c r="B26" s="36">
        <f>SUMIFS(Data!$F$2:$F$151,Data!$B$2:$B$151,Dashboard!$D$33,Data!$A$2:$A$151,$A26)</f>
        <v>187</v>
      </c>
      <c r="C26" s="36">
        <f>SUMIFS(Data!$E$2:$E$151,Data!$B$2:$B$151,Dashboard!$D$33,Data!$A$2:$A$151,$A26)</f>
        <v>0</v>
      </c>
      <c r="D26" s="36">
        <f>INDEX($G$9:$G$13,MATCH(Dashboard!$D$33,$A$9:$A$13,0))</f>
        <v>211</v>
      </c>
      <c r="E26" s="36">
        <f>INDEX($E$9:$E$13,MATCH(Dashboard!$D$33,$A$9:$A$13,0))</f>
        <v>29</v>
      </c>
      <c r="F26" s="36">
        <f>SUMIFS(Data!$D$2:$D$151,Data!$B$2:$B$151,Dashboard!$D$33,Data!$A$2:$A$151,$A26)</f>
        <v>60</v>
      </c>
    </row>
    <row r="27">
      <c r="A27" s="41">
        <f>Demand!A22</f>
        <v>46273.0</v>
      </c>
      <c r="B27" s="36">
        <f>SUMIFS(Data!$F$2:$F$151,Data!$B$2:$B$151,Dashboard!$D$33,Data!$A$2:$A$151,$A27)</f>
        <v>427</v>
      </c>
      <c r="C27" s="36">
        <f>SUMIFS(Data!$E$2:$E$151,Data!$B$2:$B$151,Dashboard!$D$33,Data!$A$2:$A$151,$A27)</f>
        <v>292</v>
      </c>
      <c r="D27" s="36">
        <f>INDEX($G$9:$G$13,MATCH(Dashboard!$D$33,$A$9:$A$13,0))</f>
        <v>211</v>
      </c>
      <c r="E27" s="36">
        <f>INDEX($E$9:$E$13,MATCH(Dashboard!$D$33,$A$9:$A$13,0))</f>
        <v>29</v>
      </c>
      <c r="F27" s="36">
        <f>SUMIFS(Data!$D$2:$D$151,Data!$B$2:$B$151,Dashboard!$D$33,Data!$A$2:$A$151,$A27)</f>
        <v>52</v>
      </c>
    </row>
    <row r="28">
      <c r="A28" s="41">
        <f>Demand!A23</f>
        <v>46274.0</v>
      </c>
      <c r="B28" s="36">
        <f>SUMIFS(Data!$F$2:$F$151,Data!$B$2:$B$151,Dashboard!$D$33,Data!$A$2:$A$151,$A28)</f>
        <v>361</v>
      </c>
      <c r="C28" s="36">
        <f>SUMIFS(Data!$E$2:$E$151,Data!$B$2:$B$151,Dashboard!$D$33,Data!$A$2:$A$151,$A28)</f>
        <v>0</v>
      </c>
      <c r="D28" s="36">
        <f>INDEX($G$9:$G$13,MATCH(Dashboard!$D$33,$A$9:$A$13,0))</f>
        <v>211</v>
      </c>
      <c r="E28" s="36">
        <f>INDEX($E$9:$E$13,MATCH(Dashboard!$D$33,$A$9:$A$13,0))</f>
        <v>29</v>
      </c>
      <c r="F28" s="36">
        <f>SUMIFS(Data!$D$2:$D$151,Data!$B$2:$B$151,Dashboard!$D$33,Data!$A$2:$A$151,$A28)</f>
        <v>66</v>
      </c>
    </row>
    <row r="29">
      <c r="A29" s="41">
        <f>Demand!A24</f>
        <v>46275.0</v>
      </c>
      <c r="B29" s="36">
        <f>SUMIFS(Data!$F$2:$F$151,Data!$B$2:$B$151,Dashboard!$D$33,Data!$A$2:$A$151,$A29)</f>
        <v>304</v>
      </c>
      <c r="C29" s="36">
        <f>SUMIFS(Data!$E$2:$E$151,Data!$B$2:$B$151,Dashboard!$D$33,Data!$A$2:$A$151,$A29)</f>
        <v>0</v>
      </c>
      <c r="D29" s="36">
        <f>INDEX($G$9:$G$13,MATCH(Dashboard!$D$33,$A$9:$A$13,0))</f>
        <v>211</v>
      </c>
      <c r="E29" s="36">
        <f>INDEX($E$9:$E$13,MATCH(Dashboard!$D$33,$A$9:$A$13,0))</f>
        <v>29</v>
      </c>
      <c r="F29" s="36">
        <f>SUMIFS(Data!$D$2:$D$151,Data!$B$2:$B$151,Dashboard!$D$33,Data!$A$2:$A$151,$A29)</f>
        <v>57</v>
      </c>
    </row>
    <row r="30">
      <c r="A30" s="41">
        <f>Demand!A25</f>
        <v>46276.0</v>
      </c>
      <c r="B30" s="36">
        <f>SUMIFS(Data!$F$2:$F$151,Data!$B$2:$B$151,Dashboard!$D$33,Data!$A$2:$A$151,$A30)</f>
        <v>194</v>
      </c>
      <c r="C30" s="36">
        <f>SUMIFS(Data!$E$2:$E$151,Data!$B$2:$B$151,Dashboard!$D$33,Data!$A$2:$A$151,$A30)</f>
        <v>0</v>
      </c>
      <c r="D30" s="36">
        <f>INDEX($G$9:$G$13,MATCH(Dashboard!$D$33,$A$9:$A$13,0))</f>
        <v>211</v>
      </c>
      <c r="E30" s="36">
        <f>INDEX($E$9:$E$13,MATCH(Dashboard!$D$33,$A$9:$A$13,0))</f>
        <v>29</v>
      </c>
      <c r="F30" s="36">
        <f>SUMIFS(Data!$D$2:$D$151,Data!$B$2:$B$151,Dashboard!$D$33,Data!$A$2:$A$151,$A30)</f>
        <v>62</v>
      </c>
    </row>
    <row r="31">
      <c r="A31" s="41">
        <f>Demand!A26</f>
        <v>46277.0</v>
      </c>
      <c r="B31" s="36">
        <f>SUMIFS(Data!$F$2:$F$151,Data!$B$2:$B$151,Dashboard!$D$33,Data!$A$2:$A$151,$A31)</f>
        <v>417</v>
      </c>
      <c r="C31" s="36">
        <f>SUMIFS(Data!$E$2:$E$151,Data!$B$2:$B$151,Dashboard!$D$33,Data!$A$2:$A$151,$A31)</f>
        <v>284</v>
      </c>
      <c r="D31" s="36">
        <f>INDEX($G$9:$G$13,MATCH(Dashboard!$D$33,$A$9:$A$13,0))</f>
        <v>211</v>
      </c>
      <c r="E31" s="36">
        <f>INDEX($E$9:$E$13,MATCH(Dashboard!$D$33,$A$9:$A$13,0))</f>
        <v>29</v>
      </c>
      <c r="F31" s="36">
        <f>SUMIFS(Data!$D$2:$D$151,Data!$B$2:$B$151,Dashboard!$D$33,Data!$A$2:$A$151,$A31)</f>
        <v>61</v>
      </c>
    </row>
    <row r="32">
      <c r="A32" s="41">
        <f>Demand!A27</f>
        <v>46278.0</v>
      </c>
      <c r="B32" s="36">
        <f>SUMIFS(Data!$F$2:$F$151,Data!$B$2:$B$151,Dashboard!$D$33,Data!$A$2:$A$151,$A32)</f>
        <v>353</v>
      </c>
      <c r="C32" s="36">
        <f>SUMIFS(Data!$E$2:$E$151,Data!$B$2:$B$151,Dashboard!$D$33,Data!$A$2:$A$151,$A32)</f>
        <v>0</v>
      </c>
      <c r="D32" s="36">
        <f>INDEX($G$9:$G$13,MATCH(Dashboard!$D$33,$A$9:$A$13,0))</f>
        <v>211</v>
      </c>
      <c r="E32" s="36">
        <f>INDEX($E$9:$E$13,MATCH(Dashboard!$D$33,$A$9:$A$13,0))</f>
        <v>29</v>
      </c>
      <c r="F32" s="36">
        <f>SUMIFS(Data!$D$2:$D$151,Data!$B$2:$B$151,Dashboard!$D$33,Data!$A$2:$A$151,$A32)</f>
        <v>64</v>
      </c>
    </row>
    <row r="33">
      <c r="A33" s="41">
        <f>Demand!A28</f>
        <v>46279.0</v>
      </c>
      <c r="B33" s="36">
        <f>SUMIFS(Data!$F$2:$F$151,Data!$B$2:$B$151,Dashboard!$D$33,Data!$A$2:$A$151,$A33)</f>
        <v>284</v>
      </c>
      <c r="C33" s="36">
        <f>SUMIFS(Data!$E$2:$E$151,Data!$B$2:$B$151,Dashboard!$D$33,Data!$A$2:$A$151,$A33)</f>
        <v>0</v>
      </c>
      <c r="D33" s="36">
        <f>INDEX($G$9:$G$13,MATCH(Dashboard!$D$33,$A$9:$A$13,0))</f>
        <v>211</v>
      </c>
      <c r="E33" s="36">
        <f>INDEX($E$9:$E$13,MATCH(Dashboard!$D$33,$A$9:$A$13,0))</f>
        <v>29</v>
      </c>
      <c r="F33" s="36">
        <f>SUMIFS(Data!$D$2:$D$151,Data!$B$2:$B$151,Dashboard!$D$33,Data!$A$2:$A$151,$A33)</f>
        <v>69</v>
      </c>
    </row>
    <row r="34">
      <c r="A34" s="41">
        <f>Demand!A29</f>
        <v>46280.0</v>
      </c>
      <c r="B34" s="36">
        <f>SUMIFS(Data!$F$2:$F$151,Data!$B$2:$B$151,Dashboard!$D$33,Data!$A$2:$A$151,$A34)</f>
        <v>238</v>
      </c>
      <c r="C34" s="36">
        <f>SUMIFS(Data!$E$2:$E$151,Data!$B$2:$B$151,Dashboard!$D$33,Data!$A$2:$A$151,$A34)</f>
        <v>0</v>
      </c>
      <c r="D34" s="36">
        <f>INDEX($G$9:$G$13,MATCH(Dashboard!$D$33,$A$9:$A$13,0))</f>
        <v>211</v>
      </c>
      <c r="E34" s="36">
        <f>INDEX($E$9:$E$13,MATCH(Dashboard!$D$33,$A$9:$A$13,0))</f>
        <v>29</v>
      </c>
      <c r="F34" s="36">
        <f>SUMIFS(Data!$D$2:$D$151,Data!$B$2:$B$151,Dashboard!$D$33,Data!$A$2:$A$151,$A34)</f>
        <v>46</v>
      </c>
    </row>
    <row r="35">
      <c r="A35" s="41">
        <f>Demand!A30</f>
        <v>46281.0</v>
      </c>
      <c r="B35" s="36">
        <f>SUMIFS(Data!$F$2:$F$151,Data!$B$2:$B$151,Dashboard!$D$33,Data!$A$2:$A$151,$A35)</f>
        <v>152</v>
      </c>
      <c r="C35" s="36">
        <f>SUMIFS(Data!$E$2:$E$151,Data!$B$2:$B$151,Dashboard!$D$33,Data!$A$2:$A$151,$A35)</f>
        <v>0</v>
      </c>
      <c r="D35" s="36">
        <f>INDEX($G$9:$G$13,MATCH(Dashboard!$D$33,$A$9:$A$13,0))</f>
        <v>211</v>
      </c>
      <c r="E35" s="36">
        <f>INDEX($E$9:$E$13,MATCH(Dashboard!$D$33,$A$9:$A$13,0))</f>
        <v>29</v>
      </c>
      <c r="F35" s="36">
        <f>SUMIFS(Data!$D$2:$D$151,Data!$B$2:$B$151,Dashboard!$D$33,Data!$A$2:$A$151,$A35)</f>
        <v>48</v>
      </c>
    </row>
    <row r="36">
      <c r="A36" s="41">
        <f>Demand!A31</f>
        <v>46282.0</v>
      </c>
      <c r="B36" s="36">
        <f>SUMIFS(Data!$F$2:$F$151,Data!$B$2:$B$151,Dashboard!$D$33,Data!$A$2:$A$151,$A36)</f>
        <v>396</v>
      </c>
      <c r="C36" s="36">
        <f>SUMIFS(Data!$E$2:$E$151,Data!$B$2:$B$151,Dashboard!$D$33,Data!$A$2:$A$151,$A36)</f>
        <v>291</v>
      </c>
      <c r="D36" s="36">
        <f>INDEX($G$9:$G$13,MATCH(Dashboard!$D$33,$A$9:$A$13,0))</f>
        <v>211</v>
      </c>
      <c r="E36" s="36">
        <f>INDEX($E$9:$E$13,MATCH(Dashboard!$D$33,$A$9:$A$13,0))</f>
        <v>29</v>
      </c>
      <c r="F36" s="36">
        <f>SUMIFS(Data!$D$2:$D$151,Data!$B$2:$B$151,Dashboard!$D$33,Data!$A$2:$A$151,$A36)</f>
        <v>47</v>
      </c>
    </row>
    <row r="37">
      <c r="A37" s="41">
        <f>Demand!A32</f>
        <v>46283.0</v>
      </c>
      <c r="B37" s="36">
        <f>SUMIFS(Data!$F$2:$F$151,Data!$B$2:$B$151,Dashboard!$D$33,Data!$A$2:$A$151,$A37)</f>
        <v>320</v>
      </c>
      <c r="C37" s="36">
        <f>SUMIFS(Data!$E$2:$E$151,Data!$B$2:$B$151,Dashboard!$D$33,Data!$A$2:$A$151,$A37)</f>
        <v>0</v>
      </c>
      <c r="D37" s="36">
        <f>INDEX($G$9:$G$13,MATCH(Dashboard!$D$33,$A$9:$A$13,0))</f>
        <v>211</v>
      </c>
      <c r="E37" s="36">
        <f>INDEX($E$9:$E$13,MATCH(Dashboard!$D$33,$A$9:$A$13,0))</f>
        <v>29</v>
      </c>
      <c r="F37" s="36">
        <f>SUMIFS(Data!$D$2:$D$151,Data!$B$2:$B$151,Dashboard!$D$33,Data!$A$2:$A$151,$A37)</f>
        <v>76</v>
      </c>
    </row>
    <row r="38">
      <c r="A38" s="41">
        <f>Demand!A33</f>
        <v>46284.0</v>
      </c>
      <c r="B38" s="36">
        <f>SUMIFS(Data!$F$2:$F$151,Data!$B$2:$B$151,Dashboard!$D$33,Data!$A$2:$A$151,$A38)</f>
        <v>273</v>
      </c>
      <c r="C38" s="36">
        <f>SUMIFS(Data!$E$2:$E$151,Data!$B$2:$B$151,Dashboard!$D$33,Data!$A$2:$A$151,$A38)</f>
        <v>0</v>
      </c>
      <c r="D38" s="36">
        <f>INDEX($G$9:$G$13,MATCH(Dashboard!$D$33,$A$9:$A$13,0))</f>
        <v>211</v>
      </c>
      <c r="E38" s="36">
        <f>INDEX($E$9:$E$13,MATCH(Dashboard!$D$33,$A$9:$A$13,0))</f>
        <v>29</v>
      </c>
      <c r="F38" s="36">
        <f>SUMIFS(Data!$D$2:$D$151,Data!$B$2:$B$151,Dashboard!$D$33,Data!$A$2:$A$151,$A38)</f>
        <v>47</v>
      </c>
    </row>
    <row r="39">
      <c r="A39" s="41">
        <f>Demand!A34</f>
        <v>46285.0</v>
      </c>
      <c r="B39" s="36">
        <f>SUMIFS(Data!$F$2:$F$151,Data!$B$2:$B$151,Dashboard!$D$33,Data!$A$2:$A$151,$A39)</f>
        <v>212</v>
      </c>
      <c r="C39" s="36">
        <f>SUMIFS(Data!$E$2:$E$151,Data!$B$2:$B$151,Dashboard!$D$33,Data!$A$2:$A$151,$A39)</f>
        <v>0</v>
      </c>
      <c r="D39" s="36">
        <f>INDEX($G$9:$G$13,MATCH(Dashboard!$D$33,$A$9:$A$13,0))</f>
        <v>211</v>
      </c>
      <c r="E39" s="36">
        <f>INDEX($E$9:$E$13,MATCH(Dashboard!$D$33,$A$9:$A$13,0))</f>
        <v>29</v>
      </c>
      <c r="F39" s="36">
        <f>SUMIFS(Data!$D$2:$D$151,Data!$B$2:$B$151,Dashboard!$D$33,Data!$A$2:$A$151,$A39)</f>
        <v>61</v>
      </c>
    </row>
    <row r="40">
      <c r="A40" s="41">
        <f>Demand!A35</f>
        <v>46286.0</v>
      </c>
      <c r="B40" s="36">
        <f>SUMIFS(Data!$F$2:$F$151,Data!$B$2:$B$151,Dashboard!$D$33,Data!$A$2:$A$151,$A40)</f>
        <v>350</v>
      </c>
      <c r="C40" s="36">
        <f>SUMIFS(Data!$E$2:$E$151,Data!$B$2:$B$151,Dashboard!$D$33,Data!$A$2:$A$151,$A40)</f>
        <v>281</v>
      </c>
      <c r="D40" s="36">
        <f>INDEX($G$9:$G$13,MATCH(Dashboard!$D$33,$A$9:$A$13,0))</f>
        <v>211</v>
      </c>
      <c r="E40" s="36">
        <f>INDEX($E$9:$E$13,MATCH(Dashboard!$D$33,$A$9:$A$13,0))</f>
        <v>29</v>
      </c>
      <c r="F40" s="36">
        <f>SUMIFS(Data!$D$2:$D$151,Data!$B$2:$B$151,Dashboard!$D$33,Data!$A$2:$A$151,$A40)</f>
        <v>56</v>
      </c>
    </row>
    <row r="41">
      <c r="A41" s="41">
        <f>Demand!A36</f>
        <v>46287.0</v>
      </c>
      <c r="B41" s="36">
        <f>SUMIFS(Data!$F$2:$F$151,Data!$B$2:$B$151,Dashboard!$D$33,Data!$A$2:$A$151,$A41)</f>
        <v>278</v>
      </c>
      <c r="C41" s="36">
        <f>SUMIFS(Data!$E$2:$E$151,Data!$B$2:$B$151,Dashboard!$D$33,Data!$A$2:$A$151,$A41)</f>
        <v>0</v>
      </c>
      <c r="D41" s="36">
        <f>INDEX($G$9:$G$13,MATCH(Dashboard!$D$33,$A$9:$A$13,0))</f>
        <v>211</v>
      </c>
      <c r="E41" s="36">
        <f>INDEX($E$9:$E$13,MATCH(Dashboard!$D$33,$A$9:$A$13,0))</f>
        <v>29</v>
      </c>
      <c r="F41" s="36">
        <f>SUMIFS(Data!$D$2:$D$151,Data!$B$2:$B$151,Dashboard!$D$33,Data!$A$2:$A$151,$A41)</f>
        <v>72</v>
      </c>
    </row>
    <row r="42">
      <c r="A42" s="41">
        <f>Demand!A37</f>
        <v>46288.0</v>
      </c>
      <c r="B42" s="36">
        <f>SUMIFS(Data!$F$2:$F$151,Data!$B$2:$B$151,Dashboard!$D$33,Data!$A$2:$A$151,$A42)</f>
        <v>203</v>
      </c>
      <c r="C42" s="36">
        <f>SUMIFS(Data!$E$2:$E$151,Data!$B$2:$B$151,Dashboard!$D$33,Data!$A$2:$A$151,$A42)</f>
        <v>0</v>
      </c>
      <c r="D42" s="36">
        <f>INDEX($G$9:$G$13,MATCH(Dashboard!$D$33,$A$9:$A$13,0))</f>
        <v>211</v>
      </c>
      <c r="E42" s="36">
        <f>INDEX($E$9:$E$13,MATCH(Dashboard!$D$33,$A$9:$A$13,0))</f>
        <v>29</v>
      </c>
      <c r="F42" s="36">
        <f>SUMIFS(Data!$D$2:$D$151,Data!$B$2:$B$151,Dashboard!$D$33,Data!$A$2:$A$151,$A42)</f>
        <v>75</v>
      </c>
    </row>
    <row r="43">
      <c r="A43" s="41">
        <f>Demand!A38</f>
        <v>46289.0</v>
      </c>
      <c r="B43" s="36">
        <f>SUMIFS(Data!$F$2:$F$151,Data!$B$2:$B$151,Dashboard!$D$33,Data!$A$2:$A$151,$A43)</f>
        <v>439</v>
      </c>
      <c r="C43" s="36">
        <f>SUMIFS(Data!$E$2:$E$151,Data!$B$2:$B$151,Dashboard!$D$33,Data!$A$2:$A$151,$A43)</f>
        <v>310</v>
      </c>
      <c r="D43" s="36">
        <f>INDEX($G$9:$G$13,MATCH(Dashboard!$D$33,$A$9:$A$13,0))</f>
        <v>211</v>
      </c>
      <c r="E43" s="36">
        <f>INDEX($E$9:$E$13,MATCH(Dashboard!$D$33,$A$9:$A$13,0))</f>
        <v>29</v>
      </c>
      <c r="F43" s="36">
        <f>SUMIFS(Data!$D$2:$D$151,Data!$B$2:$B$151,Dashboard!$D$33,Data!$A$2:$A$151,$A43)</f>
        <v>74</v>
      </c>
    </row>
    <row r="44">
      <c r="A44" s="41">
        <f>Demand!A39</f>
        <v>46290.0</v>
      </c>
      <c r="B44" s="36">
        <f>SUMIFS(Data!$F$2:$F$151,Data!$B$2:$B$151,Dashboard!$D$33,Data!$A$2:$A$151,$A44)</f>
        <v>365</v>
      </c>
      <c r="C44" s="36">
        <f>SUMIFS(Data!$E$2:$E$151,Data!$B$2:$B$151,Dashboard!$D$33,Data!$A$2:$A$151,$A44)</f>
        <v>0</v>
      </c>
      <c r="D44" s="36">
        <f>INDEX($G$9:$G$13,MATCH(Dashboard!$D$33,$A$9:$A$13,0))</f>
        <v>211</v>
      </c>
      <c r="E44" s="36">
        <f>INDEX($E$9:$E$13,MATCH(Dashboard!$D$33,$A$9:$A$13,0))</f>
        <v>29</v>
      </c>
      <c r="F44" s="36">
        <f>SUMIFS(Data!$D$2:$D$151,Data!$B$2:$B$151,Dashboard!$D$33,Data!$A$2:$A$151,$A44)</f>
        <v>74</v>
      </c>
    </row>
    <row r="45">
      <c r="A45" s="41">
        <f>Demand!A40</f>
        <v>46291.0</v>
      </c>
      <c r="B45" s="36">
        <f>SUMIFS(Data!$F$2:$F$151,Data!$B$2:$B$151,Dashboard!$D$33,Data!$A$2:$A$151,$A45)</f>
        <v>237</v>
      </c>
      <c r="C45" s="36">
        <f>SUMIFS(Data!$E$2:$E$151,Data!$B$2:$B$151,Dashboard!$D$33,Data!$A$2:$A$151,$A45)</f>
        <v>0</v>
      </c>
      <c r="D45" s="36">
        <f>INDEX($G$9:$G$13,MATCH(Dashboard!$D$33,$A$9:$A$13,0))</f>
        <v>211</v>
      </c>
      <c r="E45" s="36">
        <f>INDEX($E$9:$E$13,MATCH(Dashboard!$D$33,$A$9:$A$13,0))</f>
        <v>29</v>
      </c>
      <c r="F45" s="36">
        <f>SUMIFS(Data!$D$2:$D$151,Data!$B$2:$B$151,Dashboard!$D$33,Data!$A$2:$A$151,$A45)</f>
        <v>69</v>
      </c>
    </row>
    <row r="46">
      <c r="A46" s="41">
        <f>Demand!A41</f>
        <v>46292.0</v>
      </c>
      <c r="B46" s="36">
        <f>SUMIFS(Data!$F$2:$F$151,Data!$B$2:$B$151,Dashboard!$D$33,Data!$A$2:$A$151,$A46)</f>
        <v>528</v>
      </c>
      <c r="C46" s="36">
        <f>SUMIFS(Data!$E$2:$E$151,Data!$B$2:$B$151,Dashboard!$D$33,Data!$A$2:$A$151,$A46)</f>
        <v>344</v>
      </c>
      <c r="D46" s="36">
        <f>INDEX($G$9:$G$13,MATCH(Dashboard!$D$33,$A$9:$A$13,0))</f>
        <v>211</v>
      </c>
      <c r="E46" s="36">
        <f>INDEX($E$9:$E$13,MATCH(Dashboard!$D$33,$A$9:$A$13,0))</f>
        <v>29</v>
      </c>
      <c r="F46" s="36">
        <f>SUMIFS(Data!$D$2:$D$151,Data!$B$2:$B$151,Dashboard!$D$33,Data!$A$2:$A$151,$A46)</f>
        <v>53</v>
      </c>
    </row>
    <row r="47">
      <c r="A47" s="41">
        <f>Demand!A42</f>
        <v>46293.0</v>
      </c>
      <c r="B47" s="36">
        <f>SUMIFS(Data!$F$2:$F$151,Data!$B$2:$B$151,Dashboard!$D$33,Data!$A$2:$A$151,$A47)</f>
        <v>472</v>
      </c>
      <c r="C47" s="36">
        <f>SUMIFS(Data!$E$2:$E$151,Data!$B$2:$B$151,Dashboard!$D$33,Data!$A$2:$A$151,$A47)</f>
        <v>0</v>
      </c>
      <c r="D47" s="36">
        <f>INDEX($G$9:$G$13,MATCH(Dashboard!$D$33,$A$9:$A$13,0))</f>
        <v>211</v>
      </c>
      <c r="E47" s="36">
        <f>INDEX($E$9:$E$13,MATCH(Dashboard!$D$33,$A$9:$A$13,0))</f>
        <v>29</v>
      </c>
      <c r="F47" s="36">
        <f>SUMIFS(Data!$D$2:$D$151,Data!$B$2:$B$151,Dashboard!$D$33,Data!$A$2:$A$151,$A47)</f>
        <v>56</v>
      </c>
    </row>
    <row r="48">
      <c r="A48" s="41">
        <f>Demand!A43</f>
        <v>46294.0</v>
      </c>
      <c r="B48" s="36">
        <f>SUMIFS(Data!$F$2:$F$151,Data!$B$2:$B$151,Dashboard!$D$33,Data!$A$2:$A$151,$A48)</f>
        <v>398</v>
      </c>
      <c r="C48" s="36">
        <f>SUMIFS(Data!$E$2:$E$151,Data!$B$2:$B$151,Dashboard!$D$33,Data!$A$2:$A$151,$A48)</f>
        <v>0</v>
      </c>
      <c r="D48" s="36">
        <f>INDEX($G$9:$G$13,MATCH(Dashboard!$D$33,$A$9:$A$13,0))</f>
        <v>211</v>
      </c>
      <c r="E48" s="36">
        <f>INDEX($E$9:$E$13,MATCH(Dashboard!$D$33,$A$9:$A$13,0))</f>
        <v>29</v>
      </c>
      <c r="F48" s="36">
        <f>SUMIFS(Data!$D$2:$D$151,Data!$B$2:$B$151,Dashboard!$D$33,Data!$A$2:$A$151,$A48)</f>
        <v>74</v>
      </c>
    </row>
    <row r="49">
      <c r="A49" s="41">
        <f>Demand!A44</f>
        <v>46295.0</v>
      </c>
      <c r="B49" s="36">
        <f>SUMIFS(Data!$F$2:$F$151,Data!$B$2:$B$151,Dashboard!$D$33,Data!$A$2:$A$151,$A49)</f>
        <v>349</v>
      </c>
      <c r="C49" s="36">
        <f>SUMIFS(Data!$E$2:$E$151,Data!$B$2:$B$151,Dashboard!$D$33,Data!$A$2:$A$151,$A49)</f>
        <v>0</v>
      </c>
      <c r="D49" s="36">
        <f>INDEX($G$9:$G$13,MATCH(Dashboard!$D$33,$A$9:$A$13,0))</f>
        <v>211</v>
      </c>
      <c r="E49" s="36">
        <f>INDEX($E$9:$E$13,MATCH(Dashboard!$D$33,$A$9:$A$13,0))</f>
        <v>29</v>
      </c>
      <c r="F49" s="36">
        <f>SUMIFS(Data!$D$2:$D$151,Data!$B$2:$B$151,Dashboard!$D$33,Data!$A$2:$A$151,$A49)</f>
        <v>49</v>
      </c>
    </row>
  </sheetData>
  <mergeCells count="3">
    <mergeCell ref="A1:T1"/>
    <mergeCell ref="A2:T2"/>
    <mergeCell ref="A17:T17"/>
  </mergeCells>
  <conditionalFormatting sqref="K9:K13">
    <cfRule type="cellIs" priority="1" operator="equal" dxfId="0">
      <formula>"ORDER NOW"</formula>
    </cfRule>
    <cfRule type="cellIs" priority="2" operator="equal" dxfId="1">
      <formula>"WATCH"</formula>
    </cfRule>
    <cfRule type="cellIs" priority="3" operator="equal" dxfId="2">
      <formula>"OK"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K4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57" t="inlineStr">
        <is>
          <t>3 · Wastage &amp; Expiry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Waste = expired / damaged stock written off (kg).  Prices below are ASSUMPTIONS for illustration – replace with real buying rates.  Yellow cells can be changed.</t>
        </is>
      </c>
    </row>
    <row r="3">
      <c r="A3" s="68" t="inlineStr">
        <is>
          <t>Waste reduction target</t>
        </is>
      </c>
      <c r="B3" s="69" t="n">
        <v>0.5</v>
      </c>
      <c r="C3" s="33" t="inlineStr">
        <is>
          <t>How much of the waste we aim to remove (assumption)</t>
        </is>
      </c>
    </row>
    <row r="8" ht="46" customHeight="1">
      <c r="A8" s="34" t="inlineStr">
        <is>
          <t>Product</t>
        </is>
      </c>
      <c r="B8" s="34" t="inlineStr">
        <is>
          <t>Demand (kg)</t>
        </is>
      </c>
      <c r="C8" s="34" t="inlineStr">
        <is>
          <t>Waste (kg)</t>
        </is>
      </c>
      <c r="D8" s="34" t="inlineStr">
        <is>
          <t>Waste % of demand</t>
        </is>
      </c>
      <c r="E8" s="34" t="inlineStr">
        <is>
          <t>Waste events (days)</t>
        </is>
      </c>
      <c r="F8" s="34" t="inlineStr">
        <is>
          <t>Avg waste per event (kg)</t>
        </is>
      </c>
      <c r="G8" s="34" t="inlineStr">
        <is>
          <t>Share of total waste</t>
        </is>
      </c>
      <c r="H8" s="34" t="inlineStr">
        <is>
          <t>Assumed price (₹/kg)</t>
        </is>
      </c>
      <c r="I8" s="34" t="inlineStr">
        <is>
          <t>Est. waste value (₹)</t>
        </is>
      </c>
      <c r="J8" s="34" t="inlineStr">
        <is>
          <t>Waste saved at target (kg)</t>
        </is>
      </c>
      <c r="K8" s="34" t="inlineStr">
        <is>
          <t>Value saved at target (₹)</t>
        </is>
      </c>
    </row>
    <row r="9">
      <c r="A9" s="58" t="inlineStr">
        <is>
          <t>Tomato</t>
        </is>
      </c>
      <c r="B9" s="36">
        <f>SUMIFS(Data!$D$2:$D$151,Data!$B$2:$B$151,$A9)</f>
        <v>1817</v>
      </c>
      <c r="C9" s="36">
        <f>SUMIFS(Data!$K$2:$K$151,Data!$B$2:$B$151,$A9)</f>
        <v>374</v>
      </c>
      <c r="D9" s="38">
        <f>C9/B9</f>
        <v>0.205833791964777</v>
      </c>
      <c r="E9" s="43">
        <f>COUNTIFS(Data!$B$2:$B$151,$A9,Data!$K$2:$K$151,"&gt;0")</f>
        <v>6</v>
      </c>
      <c r="F9" s="36">
        <f>IF(E9&gt;0,C9/E9,0)</f>
        <v>62.3333333333333</v>
      </c>
      <c r="G9" s="42">
        <f>C9/$C$14</f>
        <v>0.213105413105413</v>
      </c>
      <c r="H9" s="71" t="n">
        <v>25</v>
      </c>
      <c r="I9" s="36">
        <f>C9*H9</f>
        <v>9350</v>
      </c>
      <c r="J9" s="36">
        <f>C9*$B$3</f>
        <v>187</v>
      </c>
      <c r="K9" s="36">
        <f>J9*H9</f>
        <v>4675</v>
      </c>
    </row>
    <row r="10">
      <c r="A10" s="58" t="inlineStr">
        <is>
          <t>Onion</t>
        </is>
      </c>
      <c r="B10" s="36">
        <f>SUMIFS(Data!$D$2:$D$151,Data!$B$2:$B$151,$A10)</f>
        <v>2184</v>
      </c>
      <c r="C10" s="36">
        <f>SUMIFS(Data!$K$2:$K$151,Data!$B$2:$B$151,$A10)</f>
        <v>485</v>
      </c>
      <c r="D10" s="38">
        <f>C10/B10</f>
        <v>0.222069597069597</v>
      </c>
      <c r="E10" s="43">
        <f>COUNTIFS(Data!$B$2:$B$151,$A10,Data!$K$2:$K$151,"&gt;0")</f>
        <v>6</v>
      </c>
      <c r="F10" s="36">
        <f>IF(E10&gt;0,C10/E10,0)</f>
        <v>80.8333333333333</v>
      </c>
      <c r="G10" s="42">
        <f>C10/$C$14</f>
        <v>0.276353276353276</v>
      </c>
      <c r="H10" s="71" t="n">
        <v>30</v>
      </c>
      <c r="I10" s="36">
        <f>C10*H10</f>
        <v>14550</v>
      </c>
      <c r="J10" s="36">
        <f>C10*$B$3</f>
        <v>242.5</v>
      </c>
      <c r="K10" s="36">
        <f>J10*H10</f>
        <v>7275</v>
      </c>
    </row>
    <row r="11">
      <c r="A11" s="58" t="inlineStr">
        <is>
          <t>Potato</t>
        </is>
      </c>
      <c r="B11" s="36">
        <f>SUMIFS(Data!$D$2:$D$151,Data!$B$2:$B$151,$A11)</f>
        <v>2371</v>
      </c>
      <c r="C11" s="36">
        <f>SUMIFS(Data!$K$2:$K$151,Data!$B$2:$B$151,$A11)</f>
        <v>461</v>
      </c>
      <c r="D11" s="38">
        <f>C11/B11</f>
        <v>0.194432728806411</v>
      </c>
      <c r="E11" s="43">
        <f>COUNTIFS(Data!$B$2:$B$151,$A11,Data!$K$2:$K$151,"&gt;0")</f>
        <v>6</v>
      </c>
      <c r="F11" s="36">
        <f>IF(E11&gt;0,C11/E11,0)</f>
        <v>76.8333333333333</v>
      </c>
      <c r="G11" s="42">
        <f>C11/$C$14</f>
        <v>0.262678062678063</v>
      </c>
      <c r="H11" s="71" t="n">
        <v>22</v>
      </c>
      <c r="I11" s="36">
        <f>C11*H11</f>
        <v>10142</v>
      </c>
      <c r="J11" s="36">
        <f>C11*$B$3</f>
        <v>230.5</v>
      </c>
      <c r="K11" s="36">
        <f>J11*H11</f>
        <v>5071</v>
      </c>
    </row>
    <row r="12">
      <c r="A12" s="58" t="inlineStr">
        <is>
          <t>Cucumber</t>
        </is>
      </c>
      <c r="B12" s="36">
        <f>SUMIFS(Data!$D$2:$D$151,Data!$B$2:$B$151,$A12)</f>
        <v>1187</v>
      </c>
      <c r="C12" s="36">
        <f>SUMIFS(Data!$K$2:$K$151,Data!$B$2:$B$151,$A12)</f>
        <v>239</v>
      </c>
      <c r="D12" s="38">
        <f>C12/B12</f>
        <v>0.201347935973041</v>
      </c>
      <c r="E12" s="43">
        <f>COUNTIFS(Data!$B$2:$B$151,$A12,Data!$K$2:$K$151,"&gt;0")</f>
        <v>6</v>
      </c>
      <c r="F12" s="36">
        <f>IF(E12&gt;0,C12/E12,0)</f>
        <v>39.8333333333333</v>
      </c>
      <c r="G12" s="42">
        <f>C12/$C$14</f>
        <v>0.136182336182336</v>
      </c>
      <c r="H12" s="71" t="n">
        <v>28</v>
      </c>
      <c r="I12" s="36">
        <f>C12*H12</f>
        <v>6692</v>
      </c>
      <c r="J12" s="36">
        <f>C12*$B$3</f>
        <v>119.5</v>
      </c>
      <c r="K12" s="36">
        <f>J12*H12</f>
        <v>3346</v>
      </c>
    </row>
    <row r="13">
      <c r="A13" s="58" t="inlineStr">
        <is>
          <t>Capsicum</t>
        </is>
      </c>
      <c r="B13" s="36">
        <f>SUMIFS(Data!$D$2:$D$151,Data!$B$2:$B$151,$A13)</f>
        <v>920</v>
      </c>
      <c r="C13" s="36">
        <f>SUMIFS(Data!$K$2:$K$151,Data!$B$2:$B$151,$A13)</f>
        <v>196</v>
      </c>
      <c r="D13" s="38">
        <f>C13/B13</f>
        <v>0.21304347826087</v>
      </c>
      <c r="E13" s="43">
        <f>COUNTIFS(Data!$B$2:$B$151,$A13,Data!$K$2:$K$151,"&gt;0")</f>
        <v>6</v>
      </c>
      <c r="F13" s="36">
        <f>IF(E13&gt;0,C13/E13,0)</f>
        <v>32.6666666666667</v>
      </c>
      <c r="G13" s="42">
        <f>C13/$C$14</f>
        <v>0.111680911680912</v>
      </c>
      <c r="H13" s="71" t="n">
        <v>45</v>
      </c>
      <c r="I13" s="36">
        <f>C13*H13</f>
        <v>8820</v>
      </c>
      <c r="J13" s="36">
        <f>C13*$B$3</f>
        <v>98</v>
      </c>
      <c r="K13" s="36">
        <f>J13*H13</f>
        <v>4410</v>
      </c>
    </row>
    <row r="14">
      <c r="A14" s="48" t="inlineStr">
        <is>
          <t>Total</t>
        </is>
      </c>
      <c r="B14" s="49">
        <f>SUM(B9:B13)</f>
        <v>8479</v>
      </c>
      <c r="C14" s="49">
        <f>SUM(C9:C13)</f>
        <v>1755</v>
      </c>
      <c r="D14" s="51">
        <f>C14/B14</f>
        <v>0.206981955419271</v>
      </c>
      <c r="E14" s="56">
        <f>SUM(E9:E13)</f>
        <v>30</v>
      </c>
      <c r="F14" s="49">
        <f>C14/E14</f>
        <v>58.5</v>
      </c>
      <c r="G14" s="55">
        <f>SUM(G9:G13)</f>
        <v>1</v>
      </c>
      <c r="H14" s="49" t="n"/>
      <c r="I14" s="49">
        <f>SUM(I9:I13)</f>
        <v>49554</v>
      </c>
      <c r="J14" s="49">
        <f>SUM(J9:J13)</f>
        <v>877.5</v>
      </c>
      <c r="K14" s="49">
        <f>SUM(K9:K13)</f>
        <v>24777</v>
      </c>
    </row>
    <row r="16">
      <c r="A16" s="68" t="inlineStr">
        <is>
          <t>Days with waste</t>
        </is>
      </c>
      <c r="B16" s="72">
        <f>COUNTIF(G20:G49,"&gt;0")</f>
        <v>6</v>
      </c>
    </row>
    <row r="17">
      <c r="A17" s="68" t="inlineStr">
        <is>
          <t>Biggest waste day (kg)</t>
        </is>
      </c>
      <c r="B17" s="72">
        <f>MAX(G20:G49)</f>
        <v>352</v>
      </c>
    </row>
    <row r="18" ht="22" customHeight="1">
      <c r="A18" s="20" t="inlineStr">
        <is>
          <t>Daily waste (kg) by product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 ht="30" customHeight="1">
      <c r="A19" s="34" t="inlineStr">
        <is>
          <t>Date</t>
        </is>
      </c>
      <c r="B19" s="34" t="inlineStr">
        <is>
          <t>Tomato</t>
        </is>
      </c>
      <c r="C19" s="34" t="inlineStr">
        <is>
          <t>Onion</t>
        </is>
      </c>
      <c r="D19" s="34" t="inlineStr">
        <is>
          <t>Potato</t>
        </is>
      </c>
      <c r="E19" s="34" t="inlineStr">
        <is>
          <t>Cucumber</t>
        </is>
      </c>
      <c r="F19" s="34" t="inlineStr">
        <is>
          <t>Capsicum</t>
        </is>
      </c>
      <c r="G19" s="34" t="inlineStr">
        <is>
          <t>Total waste (kg)</t>
        </is>
      </c>
    </row>
    <row r="20">
      <c r="A20" s="41">
        <f>Demand!A15</f>
        <v>46266.0</v>
      </c>
      <c r="B20" s="73">
        <f>SUMIFS(Data!$K$2:$K$151,Data!$B$2:$B$151,B$19,Data!$A$2:$A$151,$A20)</f>
        <v>80</v>
      </c>
      <c r="C20" s="73">
        <f>SUMIFS(Data!$K$2:$K$151,Data!$B$2:$B$151,C$19,Data!$A$2:$A$151,$A20)</f>
        <v>86</v>
      </c>
      <c r="D20" s="73">
        <f>SUMIFS(Data!$K$2:$K$151,Data!$B$2:$B$151,D$19,Data!$A$2:$A$151,$A20)</f>
        <v>75</v>
      </c>
      <c r="E20" s="73">
        <f>SUMIFS(Data!$K$2:$K$151,Data!$B$2:$B$151,E$19,Data!$A$2:$A$151,$A20)</f>
        <v>67</v>
      </c>
      <c r="F20" s="73">
        <f>SUMIFS(Data!$K$2:$K$151,Data!$B$2:$B$151,F$19,Data!$A$2:$A$151,$A20)</f>
        <v>44</v>
      </c>
      <c r="G20" s="74">
        <f>SUM(B20:F20)</f>
        <v>352</v>
      </c>
    </row>
    <row r="21">
      <c r="A21" s="41">
        <f>Demand!A16</f>
        <v>46267.0</v>
      </c>
      <c r="B21" s="73">
        <f>SUMIFS(Data!$K$2:$K$151,Data!$B$2:$B$151,B$19,Data!$A$2:$A$151,$A21)</f>
        <v>0</v>
      </c>
      <c r="C21" s="73">
        <f>SUMIFS(Data!$K$2:$K$151,Data!$B$2:$B$151,C$19,Data!$A$2:$A$151,$A21)</f>
        <v>0</v>
      </c>
      <c r="D21" s="73">
        <f>SUMIFS(Data!$K$2:$K$151,Data!$B$2:$B$151,D$19,Data!$A$2:$A$151,$A21)</f>
        <v>0</v>
      </c>
      <c r="E21" s="73">
        <f>SUMIFS(Data!$K$2:$K$151,Data!$B$2:$B$151,E$19,Data!$A$2:$A$151,$A21)</f>
        <v>0</v>
      </c>
      <c r="F21" s="73">
        <f>SUMIFS(Data!$K$2:$K$151,Data!$B$2:$B$151,F$19,Data!$A$2:$A$151,$A21)</f>
        <v>0</v>
      </c>
      <c r="G21" s="74">
        <f>SUM(B21:F21)</f>
        <v>0</v>
      </c>
    </row>
    <row r="22">
      <c r="A22" s="41">
        <f>Demand!A17</f>
        <v>46268.0</v>
      </c>
      <c r="B22" s="73">
        <f>SUMIFS(Data!$K$2:$K$151,Data!$B$2:$B$151,B$19,Data!$A$2:$A$151,$A22)</f>
        <v>0</v>
      </c>
      <c r="C22" s="73">
        <f>SUMIFS(Data!$K$2:$K$151,Data!$B$2:$B$151,C$19,Data!$A$2:$A$151,$A22)</f>
        <v>0</v>
      </c>
      <c r="D22" s="73">
        <f>SUMIFS(Data!$K$2:$K$151,Data!$B$2:$B$151,D$19,Data!$A$2:$A$151,$A22)</f>
        <v>0</v>
      </c>
      <c r="E22" s="73">
        <f>SUMIFS(Data!$K$2:$K$151,Data!$B$2:$B$151,E$19,Data!$A$2:$A$151,$A22)</f>
        <v>0</v>
      </c>
      <c r="F22" s="73">
        <f>SUMIFS(Data!$K$2:$K$151,Data!$B$2:$B$151,F$19,Data!$A$2:$A$151,$A22)</f>
        <v>0</v>
      </c>
      <c r="G22" s="74">
        <f>SUM(B22:F22)</f>
        <v>0</v>
      </c>
    </row>
    <row r="23">
      <c r="A23" s="41">
        <f>Demand!A18</f>
        <v>46269.0</v>
      </c>
      <c r="B23" s="73">
        <f>SUMIFS(Data!$K$2:$K$151,Data!$B$2:$B$151,B$19,Data!$A$2:$A$151,$A23)</f>
        <v>0</v>
      </c>
      <c r="C23" s="73">
        <f>SUMIFS(Data!$K$2:$K$151,Data!$B$2:$B$151,C$19,Data!$A$2:$A$151,$A23)</f>
        <v>0</v>
      </c>
      <c r="D23" s="73">
        <f>SUMIFS(Data!$K$2:$K$151,Data!$B$2:$B$151,D$19,Data!$A$2:$A$151,$A23)</f>
        <v>0</v>
      </c>
      <c r="E23" s="73">
        <f>SUMIFS(Data!$K$2:$K$151,Data!$B$2:$B$151,E$19,Data!$A$2:$A$151,$A23)</f>
        <v>0</v>
      </c>
      <c r="F23" s="73">
        <f>SUMIFS(Data!$K$2:$K$151,Data!$B$2:$B$151,F$19,Data!$A$2:$A$151,$A23)</f>
        <v>0</v>
      </c>
      <c r="G23" s="74">
        <f>SUM(B23:F23)</f>
        <v>0</v>
      </c>
    </row>
    <row r="24">
      <c r="A24" s="41">
        <f>Demand!A19</f>
        <v>46270.0</v>
      </c>
      <c r="B24" s="73">
        <f>SUMIFS(Data!$K$2:$K$151,Data!$B$2:$B$151,B$19,Data!$A$2:$A$151,$A24)</f>
        <v>0</v>
      </c>
      <c r="C24" s="73">
        <f>SUMIFS(Data!$K$2:$K$151,Data!$B$2:$B$151,C$19,Data!$A$2:$A$151,$A24)</f>
        <v>0</v>
      </c>
      <c r="D24" s="73">
        <f>SUMIFS(Data!$K$2:$K$151,Data!$B$2:$B$151,D$19,Data!$A$2:$A$151,$A24)</f>
        <v>0</v>
      </c>
      <c r="E24" s="73">
        <f>SUMIFS(Data!$K$2:$K$151,Data!$B$2:$B$151,E$19,Data!$A$2:$A$151,$A24)</f>
        <v>0</v>
      </c>
      <c r="F24" s="73">
        <f>SUMIFS(Data!$K$2:$K$151,Data!$B$2:$B$151,F$19,Data!$A$2:$A$151,$A24)</f>
        <v>0</v>
      </c>
      <c r="G24" s="74">
        <f>SUM(B24:F24)</f>
        <v>0</v>
      </c>
    </row>
    <row r="25">
      <c r="A25" s="41">
        <f>Demand!A20</f>
        <v>46271.0</v>
      </c>
      <c r="B25" s="73">
        <f>SUMIFS(Data!$K$2:$K$151,Data!$B$2:$B$151,B$19,Data!$A$2:$A$151,$A25)</f>
        <v>62</v>
      </c>
      <c r="C25" s="73">
        <f>SUMIFS(Data!$K$2:$K$151,Data!$B$2:$B$151,C$19,Data!$A$2:$A$151,$A25)</f>
        <v>88</v>
      </c>
      <c r="D25" s="73">
        <f>SUMIFS(Data!$K$2:$K$151,Data!$B$2:$B$151,D$19,Data!$A$2:$A$151,$A25)</f>
        <v>72</v>
      </c>
      <c r="E25" s="73">
        <f>SUMIFS(Data!$K$2:$K$151,Data!$B$2:$B$151,E$19,Data!$A$2:$A$151,$A25)</f>
        <v>39</v>
      </c>
      <c r="F25" s="73">
        <f>SUMIFS(Data!$K$2:$K$151,Data!$B$2:$B$151,F$19,Data!$A$2:$A$151,$A25)</f>
        <v>35</v>
      </c>
      <c r="G25" s="74">
        <f>SUM(B25:F25)</f>
        <v>296</v>
      </c>
    </row>
    <row r="26">
      <c r="A26" s="41">
        <f>Demand!A21</f>
        <v>46272.0</v>
      </c>
      <c r="B26" s="73">
        <f>SUMIFS(Data!$K$2:$K$151,Data!$B$2:$B$151,B$19,Data!$A$2:$A$151,$A26)</f>
        <v>0</v>
      </c>
      <c r="C26" s="73">
        <f>SUMIFS(Data!$K$2:$K$151,Data!$B$2:$B$151,C$19,Data!$A$2:$A$151,$A26)</f>
        <v>0</v>
      </c>
      <c r="D26" s="73">
        <f>SUMIFS(Data!$K$2:$K$151,Data!$B$2:$B$151,D$19,Data!$A$2:$A$151,$A26)</f>
        <v>0</v>
      </c>
      <c r="E26" s="73">
        <f>SUMIFS(Data!$K$2:$K$151,Data!$B$2:$B$151,E$19,Data!$A$2:$A$151,$A26)</f>
        <v>0</v>
      </c>
      <c r="F26" s="73">
        <f>SUMIFS(Data!$K$2:$K$151,Data!$B$2:$B$151,F$19,Data!$A$2:$A$151,$A26)</f>
        <v>0</v>
      </c>
      <c r="G26" s="74">
        <f>SUM(B26:F26)</f>
        <v>0</v>
      </c>
    </row>
    <row r="27">
      <c r="A27" s="41">
        <f>Demand!A22</f>
        <v>46273.0</v>
      </c>
      <c r="B27" s="73">
        <f>SUMIFS(Data!$K$2:$K$151,Data!$B$2:$B$151,B$19,Data!$A$2:$A$151,$A27)</f>
        <v>0</v>
      </c>
      <c r="C27" s="73">
        <f>SUMIFS(Data!$K$2:$K$151,Data!$B$2:$B$151,C$19,Data!$A$2:$A$151,$A27)</f>
        <v>0</v>
      </c>
      <c r="D27" s="73">
        <f>SUMIFS(Data!$K$2:$K$151,Data!$B$2:$B$151,D$19,Data!$A$2:$A$151,$A27)</f>
        <v>0</v>
      </c>
      <c r="E27" s="73">
        <f>SUMIFS(Data!$K$2:$K$151,Data!$B$2:$B$151,E$19,Data!$A$2:$A$151,$A27)</f>
        <v>0</v>
      </c>
      <c r="F27" s="73">
        <f>SUMIFS(Data!$K$2:$K$151,Data!$B$2:$B$151,F$19,Data!$A$2:$A$151,$A27)</f>
        <v>0</v>
      </c>
      <c r="G27" s="74">
        <f>SUM(B27:F27)</f>
        <v>0</v>
      </c>
    </row>
    <row r="28">
      <c r="A28" s="41">
        <f>Demand!A23</f>
        <v>46274.0</v>
      </c>
      <c r="B28" s="73">
        <f>SUMIFS(Data!$K$2:$K$151,Data!$B$2:$B$151,B$19,Data!$A$2:$A$151,$A28)</f>
        <v>0</v>
      </c>
      <c r="C28" s="73">
        <f>SUMIFS(Data!$K$2:$K$151,Data!$B$2:$B$151,C$19,Data!$A$2:$A$151,$A28)</f>
        <v>0</v>
      </c>
      <c r="D28" s="73">
        <f>SUMIFS(Data!$K$2:$K$151,Data!$B$2:$B$151,D$19,Data!$A$2:$A$151,$A28)</f>
        <v>0</v>
      </c>
      <c r="E28" s="73">
        <f>SUMIFS(Data!$K$2:$K$151,Data!$B$2:$B$151,E$19,Data!$A$2:$A$151,$A28)</f>
        <v>0</v>
      </c>
      <c r="F28" s="73">
        <f>SUMIFS(Data!$K$2:$K$151,Data!$B$2:$B$151,F$19,Data!$A$2:$A$151,$A28)</f>
        <v>0</v>
      </c>
      <c r="G28" s="74">
        <f>SUM(B28:F28)</f>
        <v>0</v>
      </c>
    </row>
    <row r="29">
      <c r="A29" s="41">
        <f>Demand!A24</f>
        <v>46275.0</v>
      </c>
      <c r="B29" s="73">
        <f>SUMIFS(Data!$K$2:$K$151,Data!$B$2:$B$151,B$19,Data!$A$2:$A$151,$A29)</f>
        <v>0</v>
      </c>
      <c r="C29" s="73">
        <f>SUMIFS(Data!$K$2:$K$151,Data!$B$2:$B$151,C$19,Data!$A$2:$A$151,$A29)</f>
        <v>0</v>
      </c>
      <c r="D29" s="73">
        <f>SUMIFS(Data!$K$2:$K$151,Data!$B$2:$B$151,D$19,Data!$A$2:$A$151,$A29)</f>
        <v>0</v>
      </c>
      <c r="E29" s="73">
        <f>SUMIFS(Data!$K$2:$K$151,Data!$B$2:$B$151,E$19,Data!$A$2:$A$151,$A29)</f>
        <v>0</v>
      </c>
      <c r="F29" s="73">
        <f>SUMIFS(Data!$K$2:$K$151,Data!$B$2:$B$151,F$19,Data!$A$2:$A$151,$A29)</f>
        <v>0</v>
      </c>
      <c r="G29" s="74">
        <f>SUM(B29:F29)</f>
        <v>0</v>
      </c>
    </row>
    <row r="30">
      <c r="A30" s="41">
        <f>Demand!A25</f>
        <v>46276.0</v>
      </c>
      <c r="B30" s="73">
        <f>SUMIFS(Data!$K$2:$K$151,Data!$B$2:$B$151,B$19,Data!$A$2:$A$151,$A30)</f>
        <v>48</v>
      </c>
      <c r="C30" s="73">
        <f>SUMIFS(Data!$K$2:$K$151,Data!$B$2:$B$151,C$19,Data!$A$2:$A$151,$A30)</f>
        <v>82</v>
      </c>
      <c r="D30" s="73">
        <f>SUMIFS(Data!$K$2:$K$151,Data!$B$2:$B$151,D$19,Data!$A$2:$A$151,$A30)</f>
        <v>79</v>
      </c>
      <c r="E30" s="73">
        <f>SUMIFS(Data!$K$2:$K$151,Data!$B$2:$B$151,E$19,Data!$A$2:$A$151,$A30)</f>
        <v>18</v>
      </c>
      <c r="F30" s="73">
        <f>SUMIFS(Data!$K$2:$K$151,Data!$B$2:$B$151,F$19,Data!$A$2:$A$151,$A30)</f>
        <v>27</v>
      </c>
      <c r="G30" s="74">
        <f>SUM(B30:F30)</f>
        <v>254</v>
      </c>
    </row>
    <row r="31">
      <c r="A31" s="41">
        <f>Demand!A26</f>
        <v>46277.0</v>
      </c>
      <c r="B31" s="73">
        <f>SUMIFS(Data!$K$2:$K$151,Data!$B$2:$B$151,B$19,Data!$A$2:$A$151,$A31)</f>
        <v>0</v>
      </c>
      <c r="C31" s="73">
        <f>SUMIFS(Data!$K$2:$K$151,Data!$B$2:$B$151,C$19,Data!$A$2:$A$151,$A31)</f>
        <v>0</v>
      </c>
      <c r="D31" s="73">
        <f>SUMIFS(Data!$K$2:$K$151,Data!$B$2:$B$151,D$19,Data!$A$2:$A$151,$A31)</f>
        <v>0</v>
      </c>
      <c r="E31" s="73">
        <f>SUMIFS(Data!$K$2:$K$151,Data!$B$2:$B$151,E$19,Data!$A$2:$A$151,$A31)</f>
        <v>0</v>
      </c>
      <c r="F31" s="73">
        <f>SUMIFS(Data!$K$2:$K$151,Data!$B$2:$B$151,F$19,Data!$A$2:$A$151,$A31)</f>
        <v>0</v>
      </c>
      <c r="G31" s="74">
        <f>SUM(B31:F31)</f>
        <v>0</v>
      </c>
    </row>
    <row r="32">
      <c r="A32" s="41">
        <f>Demand!A27</f>
        <v>46278.0</v>
      </c>
      <c r="B32" s="73">
        <f>SUMIFS(Data!$K$2:$K$151,Data!$B$2:$B$151,B$19,Data!$A$2:$A$151,$A32)</f>
        <v>0</v>
      </c>
      <c r="C32" s="73">
        <f>SUMIFS(Data!$K$2:$K$151,Data!$B$2:$B$151,C$19,Data!$A$2:$A$151,$A32)</f>
        <v>0</v>
      </c>
      <c r="D32" s="73">
        <f>SUMIFS(Data!$K$2:$K$151,Data!$B$2:$B$151,D$19,Data!$A$2:$A$151,$A32)</f>
        <v>0</v>
      </c>
      <c r="E32" s="73">
        <f>SUMIFS(Data!$K$2:$K$151,Data!$B$2:$B$151,E$19,Data!$A$2:$A$151,$A32)</f>
        <v>0</v>
      </c>
      <c r="F32" s="73">
        <f>SUMIFS(Data!$K$2:$K$151,Data!$B$2:$B$151,F$19,Data!$A$2:$A$151,$A32)</f>
        <v>0</v>
      </c>
      <c r="G32" s="74">
        <f>SUM(B32:F32)</f>
        <v>0</v>
      </c>
    </row>
    <row r="33">
      <c r="A33" s="41">
        <f>Demand!A28</f>
        <v>46279.0</v>
      </c>
      <c r="B33" s="73">
        <f>SUMIFS(Data!$K$2:$K$151,Data!$B$2:$B$151,B$19,Data!$A$2:$A$151,$A33)</f>
        <v>0</v>
      </c>
      <c r="C33" s="73">
        <f>SUMIFS(Data!$K$2:$K$151,Data!$B$2:$B$151,C$19,Data!$A$2:$A$151,$A33)</f>
        <v>0</v>
      </c>
      <c r="D33" s="73">
        <f>SUMIFS(Data!$K$2:$K$151,Data!$B$2:$B$151,D$19,Data!$A$2:$A$151,$A33)</f>
        <v>0</v>
      </c>
      <c r="E33" s="73">
        <f>SUMIFS(Data!$K$2:$K$151,Data!$B$2:$B$151,E$19,Data!$A$2:$A$151,$A33)</f>
        <v>0</v>
      </c>
      <c r="F33" s="73">
        <f>SUMIFS(Data!$K$2:$K$151,Data!$B$2:$B$151,F$19,Data!$A$2:$A$151,$A33)</f>
        <v>0</v>
      </c>
      <c r="G33" s="74">
        <f>SUM(B33:F33)</f>
        <v>0</v>
      </c>
    </row>
    <row r="34">
      <c r="A34" s="41">
        <f>Demand!A29</f>
        <v>46280.0</v>
      </c>
      <c r="B34" s="73">
        <f>SUMIFS(Data!$K$2:$K$151,Data!$B$2:$B$151,B$19,Data!$A$2:$A$151,$A34)</f>
        <v>0</v>
      </c>
      <c r="C34" s="73">
        <f>SUMIFS(Data!$K$2:$K$151,Data!$B$2:$B$151,C$19,Data!$A$2:$A$151,$A34)</f>
        <v>0</v>
      </c>
      <c r="D34" s="73">
        <f>SUMIFS(Data!$K$2:$K$151,Data!$B$2:$B$151,D$19,Data!$A$2:$A$151,$A34)</f>
        <v>0</v>
      </c>
      <c r="E34" s="73">
        <f>SUMIFS(Data!$K$2:$K$151,Data!$B$2:$B$151,E$19,Data!$A$2:$A$151,$A34)</f>
        <v>0</v>
      </c>
      <c r="F34" s="73">
        <f>SUMIFS(Data!$K$2:$K$151,Data!$B$2:$B$151,F$19,Data!$A$2:$A$151,$A34)</f>
        <v>0</v>
      </c>
      <c r="G34" s="74">
        <f>SUM(B34:F34)</f>
        <v>0</v>
      </c>
    </row>
    <row r="35">
      <c r="A35" s="41">
        <f>Demand!A30</f>
        <v>46281.0</v>
      </c>
      <c r="B35" s="73">
        <f>SUMIFS(Data!$K$2:$K$151,Data!$B$2:$B$151,B$19,Data!$A$2:$A$151,$A35)</f>
        <v>38</v>
      </c>
      <c r="C35" s="73">
        <f>SUMIFS(Data!$K$2:$K$151,Data!$B$2:$B$151,C$19,Data!$A$2:$A$151,$A35)</f>
        <v>77</v>
      </c>
      <c r="D35" s="73">
        <f>SUMIFS(Data!$K$2:$K$151,Data!$B$2:$B$151,D$19,Data!$A$2:$A$151,$A35)</f>
        <v>76</v>
      </c>
      <c r="E35" s="73">
        <f>SUMIFS(Data!$K$2:$K$151,Data!$B$2:$B$151,E$19,Data!$A$2:$A$151,$A35)</f>
        <v>45</v>
      </c>
      <c r="F35" s="73">
        <f>SUMIFS(Data!$K$2:$K$151,Data!$B$2:$B$151,F$19,Data!$A$2:$A$151,$A35)</f>
        <v>20</v>
      </c>
      <c r="G35" s="74">
        <f>SUM(B35:F35)</f>
        <v>256</v>
      </c>
    </row>
    <row r="36">
      <c r="A36" s="41">
        <f>Demand!A31</f>
        <v>46282.0</v>
      </c>
      <c r="B36" s="73">
        <f>SUMIFS(Data!$K$2:$K$151,Data!$B$2:$B$151,B$19,Data!$A$2:$A$151,$A36)</f>
        <v>0</v>
      </c>
      <c r="C36" s="73">
        <f>SUMIFS(Data!$K$2:$K$151,Data!$B$2:$B$151,C$19,Data!$A$2:$A$151,$A36)</f>
        <v>0</v>
      </c>
      <c r="D36" s="73">
        <f>SUMIFS(Data!$K$2:$K$151,Data!$B$2:$B$151,D$19,Data!$A$2:$A$151,$A36)</f>
        <v>0</v>
      </c>
      <c r="E36" s="73">
        <f>SUMIFS(Data!$K$2:$K$151,Data!$B$2:$B$151,E$19,Data!$A$2:$A$151,$A36)</f>
        <v>0</v>
      </c>
      <c r="F36" s="73">
        <f>SUMIFS(Data!$K$2:$K$151,Data!$B$2:$B$151,F$19,Data!$A$2:$A$151,$A36)</f>
        <v>0</v>
      </c>
      <c r="G36" s="74">
        <f>SUM(B36:F36)</f>
        <v>0</v>
      </c>
    </row>
    <row r="37">
      <c r="A37" s="41">
        <f>Demand!A32</f>
        <v>46283.0</v>
      </c>
      <c r="B37" s="73">
        <f>SUMIFS(Data!$K$2:$K$151,Data!$B$2:$B$151,B$19,Data!$A$2:$A$151,$A37)</f>
        <v>0</v>
      </c>
      <c r="C37" s="73">
        <f>SUMIFS(Data!$K$2:$K$151,Data!$B$2:$B$151,C$19,Data!$A$2:$A$151,$A37)</f>
        <v>0</v>
      </c>
      <c r="D37" s="73">
        <f>SUMIFS(Data!$K$2:$K$151,Data!$B$2:$B$151,D$19,Data!$A$2:$A$151,$A37)</f>
        <v>0</v>
      </c>
      <c r="E37" s="73">
        <f>SUMIFS(Data!$K$2:$K$151,Data!$B$2:$B$151,E$19,Data!$A$2:$A$151,$A37)</f>
        <v>0</v>
      </c>
      <c r="F37" s="73">
        <f>SUMIFS(Data!$K$2:$K$151,Data!$B$2:$B$151,F$19,Data!$A$2:$A$151,$A37)</f>
        <v>0</v>
      </c>
      <c r="G37" s="74">
        <f>SUM(B37:F37)</f>
        <v>0</v>
      </c>
    </row>
    <row r="38">
      <c r="A38" s="41">
        <f>Demand!A33</f>
        <v>46284.0</v>
      </c>
      <c r="B38" s="73">
        <f>SUMIFS(Data!$K$2:$K$151,Data!$B$2:$B$151,B$19,Data!$A$2:$A$151,$A38)</f>
        <v>0</v>
      </c>
      <c r="C38" s="73">
        <f>SUMIFS(Data!$K$2:$K$151,Data!$B$2:$B$151,C$19,Data!$A$2:$A$151,$A38)</f>
        <v>0</v>
      </c>
      <c r="D38" s="73">
        <f>SUMIFS(Data!$K$2:$K$151,Data!$B$2:$B$151,D$19,Data!$A$2:$A$151,$A38)</f>
        <v>0</v>
      </c>
      <c r="E38" s="73">
        <f>SUMIFS(Data!$K$2:$K$151,Data!$B$2:$B$151,E$19,Data!$A$2:$A$151,$A38)</f>
        <v>0</v>
      </c>
      <c r="F38" s="73">
        <f>SUMIFS(Data!$K$2:$K$151,Data!$B$2:$B$151,F$19,Data!$A$2:$A$151,$A38)</f>
        <v>0</v>
      </c>
      <c r="G38" s="74">
        <f>SUM(B38:F38)</f>
        <v>0</v>
      </c>
    </row>
    <row r="39">
      <c r="A39" s="41">
        <f>Demand!A34</f>
        <v>46285.0</v>
      </c>
      <c r="B39" s="73">
        <f>SUMIFS(Data!$K$2:$K$151,Data!$B$2:$B$151,B$19,Data!$A$2:$A$151,$A39)</f>
        <v>0</v>
      </c>
      <c r="C39" s="73">
        <f>SUMIFS(Data!$K$2:$K$151,Data!$B$2:$B$151,C$19,Data!$A$2:$A$151,$A39)</f>
        <v>0</v>
      </c>
      <c r="D39" s="73">
        <f>SUMIFS(Data!$K$2:$K$151,Data!$B$2:$B$151,D$19,Data!$A$2:$A$151,$A39)</f>
        <v>0</v>
      </c>
      <c r="E39" s="73">
        <f>SUMIFS(Data!$K$2:$K$151,Data!$B$2:$B$151,E$19,Data!$A$2:$A$151,$A39)</f>
        <v>0</v>
      </c>
      <c r="F39" s="73">
        <f>SUMIFS(Data!$K$2:$K$151,Data!$B$2:$B$151,F$19,Data!$A$2:$A$151,$A39)</f>
        <v>0</v>
      </c>
      <c r="G39" s="74">
        <f>SUM(B39:F39)</f>
        <v>0</v>
      </c>
    </row>
    <row r="40">
      <c r="A40" s="41">
        <f>Demand!A35</f>
        <v>46286.0</v>
      </c>
      <c r="B40" s="73">
        <f>SUMIFS(Data!$K$2:$K$151,Data!$B$2:$B$151,B$19,Data!$A$2:$A$151,$A40)</f>
        <v>87</v>
      </c>
      <c r="C40" s="73">
        <f>SUMIFS(Data!$K$2:$K$151,Data!$B$2:$B$151,C$19,Data!$A$2:$A$151,$A40)</f>
        <v>76</v>
      </c>
      <c r="D40" s="73">
        <f>SUMIFS(Data!$K$2:$K$151,Data!$B$2:$B$151,D$19,Data!$A$2:$A$151,$A40)</f>
        <v>79</v>
      </c>
      <c r="E40" s="73">
        <f>SUMIFS(Data!$K$2:$K$151,Data!$B$2:$B$151,E$19,Data!$A$2:$A$151,$A40)</f>
        <v>24</v>
      </c>
      <c r="F40" s="73">
        <f>SUMIFS(Data!$K$2:$K$151,Data!$B$2:$B$151,F$19,Data!$A$2:$A$151,$A40)</f>
        <v>21</v>
      </c>
      <c r="G40" s="74">
        <f>SUM(B40:F40)</f>
        <v>287</v>
      </c>
    </row>
    <row r="41">
      <c r="A41" s="41">
        <f>Demand!A36</f>
        <v>46287.0</v>
      </c>
      <c r="B41" s="73">
        <f>SUMIFS(Data!$K$2:$K$151,Data!$B$2:$B$151,B$19,Data!$A$2:$A$151,$A41)</f>
        <v>0</v>
      </c>
      <c r="C41" s="73">
        <f>SUMIFS(Data!$K$2:$K$151,Data!$B$2:$B$151,C$19,Data!$A$2:$A$151,$A41)</f>
        <v>0</v>
      </c>
      <c r="D41" s="73">
        <f>SUMIFS(Data!$K$2:$K$151,Data!$B$2:$B$151,D$19,Data!$A$2:$A$151,$A41)</f>
        <v>0</v>
      </c>
      <c r="E41" s="73">
        <f>SUMIFS(Data!$K$2:$K$151,Data!$B$2:$B$151,E$19,Data!$A$2:$A$151,$A41)</f>
        <v>0</v>
      </c>
      <c r="F41" s="73">
        <f>SUMIFS(Data!$K$2:$K$151,Data!$B$2:$B$151,F$19,Data!$A$2:$A$151,$A41)</f>
        <v>0</v>
      </c>
      <c r="G41" s="74">
        <f>SUM(B41:F41)</f>
        <v>0</v>
      </c>
    </row>
    <row r="42">
      <c r="A42" s="41">
        <f>Demand!A37</f>
        <v>46288.0</v>
      </c>
      <c r="B42" s="73">
        <f>SUMIFS(Data!$K$2:$K$151,Data!$B$2:$B$151,B$19,Data!$A$2:$A$151,$A42)</f>
        <v>0</v>
      </c>
      <c r="C42" s="73">
        <f>SUMIFS(Data!$K$2:$K$151,Data!$B$2:$B$151,C$19,Data!$A$2:$A$151,$A42)</f>
        <v>0</v>
      </c>
      <c r="D42" s="73">
        <f>SUMIFS(Data!$K$2:$K$151,Data!$B$2:$B$151,D$19,Data!$A$2:$A$151,$A42)</f>
        <v>0</v>
      </c>
      <c r="E42" s="73">
        <f>SUMIFS(Data!$K$2:$K$151,Data!$B$2:$B$151,E$19,Data!$A$2:$A$151,$A42)</f>
        <v>0</v>
      </c>
      <c r="F42" s="73">
        <f>SUMIFS(Data!$K$2:$K$151,Data!$B$2:$B$151,F$19,Data!$A$2:$A$151,$A42)</f>
        <v>0</v>
      </c>
      <c r="G42" s="74">
        <f>SUM(B42:F42)</f>
        <v>0</v>
      </c>
    </row>
    <row r="43">
      <c r="A43" s="41">
        <f>Demand!A38</f>
        <v>46289.0</v>
      </c>
      <c r="B43" s="73">
        <f>SUMIFS(Data!$K$2:$K$151,Data!$B$2:$B$151,B$19,Data!$A$2:$A$151,$A43)</f>
        <v>0</v>
      </c>
      <c r="C43" s="73">
        <f>SUMIFS(Data!$K$2:$K$151,Data!$B$2:$B$151,C$19,Data!$A$2:$A$151,$A43)</f>
        <v>0</v>
      </c>
      <c r="D43" s="73">
        <f>SUMIFS(Data!$K$2:$K$151,Data!$B$2:$B$151,D$19,Data!$A$2:$A$151,$A43)</f>
        <v>0</v>
      </c>
      <c r="E43" s="73">
        <f>SUMIFS(Data!$K$2:$K$151,Data!$B$2:$B$151,E$19,Data!$A$2:$A$151,$A43)</f>
        <v>0</v>
      </c>
      <c r="F43" s="73">
        <f>SUMIFS(Data!$K$2:$K$151,Data!$B$2:$B$151,F$19,Data!$A$2:$A$151,$A43)</f>
        <v>0</v>
      </c>
      <c r="G43" s="74">
        <f>SUM(B43:F43)</f>
        <v>0</v>
      </c>
    </row>
    <row r="44">
      <c r="A44" s="41">
        <f>Demand!A39</f>
        <v>46290.0</v>
      </c>
      <c r="B44" s="73">
        <f>SUMIFS(Data!$K$2:$K$151,Data!$B$2:$B$151,B$19,Data!$A$2:$A$151,$A44)</f>
        <v>0</v>
      </c>
      <c r="C44" s="73">
        <f>SUMIFS(Data!$K$2:$K$151,Data!$B$2:$B$151,C$19,Data!$A$2:$A$151,$A44)</f>
        <v>0</v>
      </c>
      <c r="D44" s="73">
        <f>SUMIFS(Data!$K$2:$K$151,Data!$B$2:$B$151,D$19,Data!$A$2:$A$151,$A44)</f>
        <v>0</v>
      </c>
      <c r="E44" s="73">
        <f>SUMIFS(Data!$K$2:$K$151,Data!$B$2:$B$151,E$19,Data!$A$2:$A$151,$A44)</f>
        <v>0</v>
      </c>
      <c r="F44" s="73">
        <f>SUMIFS(Data!$K$2:$K$151,Data!$B$2:$B$151,F$19,Data!$A$2:$A$151,$A44)</f>
        <v>0</v>
      </c>
      <c r="G44" s="74">
        <f>SUM(B44:F44)</f>
        <v>0</v>
      </c>
    </row>
    <row r="45">
      <c r="A45" s="41">
        <f>Demand!A40</f>
        <v>46291.0</v>
      </c>
      <c r="B45" s="73">
        <f>SUMIFS(Data!$K$2:$K$151,Data!$B$2:$B$151,B$19,Data!$A$2:$A$151,$A45)</f>
        <v>59</v>
      </c>
      <c r="C45" s="73">
        <f>SUMIFS(Data!$K$2:$K$151,Data!$B$2:$B$151,C$19,Data!$A$2:$A$151,$A45)</f>
        <v>76</v>
      </c>
      <c r="D45" s="73">
        <f>SUMIFS(Data!$K$2:$K$151,Data!$B$2:$B$151,D$19,Data!$A$2:$A$151,$A45)</f>
        <v>80</v>
      </c>
      <c r="E45" s="73">
        <f>SUMIFS(Data!$K$2:$K$151,Data!$B$2:$B$151,E$19,Data!$A$2:$A$151,$A45)</f>
        <v>46</v>
      </c>
      <c r="F45" s="73">
        <f>SUMIFS(Data!$K$2:$K$151,Data!$B$2:$B$151,F$19,Data!$A$2:$A$151,$A45)</f>
        <v>49</v>
      </c>
      <c r="G45" s="74">
        <f>SUM(B45:F45)</f>
        <v>310</v>
      </c>
    </row>
    <row r="46">
      <c r="A46" s="41">
        <f>Demand!A41</f>
        <v>46292.0</v>
      </c>
      <c r="B46" s="73">
        <f>SUMIFS(Data!$K$2:$K$151,Data!$B$2:$B$151,B$19,Data!$A$2:$A$151,$A46)</f>
        <v>0</v>
      </c>
      <c r="C46" s="73">
        <f>SUMIFS(Data!$K$2:$K$151,Data!$B$2:$B$151,C$19,Data!$A$2:$A$151,$A46)</f>
        <v>0</v>
      </c>
      <c r="D46" s="73">
        <f>SUMIFS(Data!$K$2:$K$151,Data!$B$2:$B$151,D$19,Data!$A$2:$A$151,$A46)</f>
        <v>0</v>
      </c>
      <c r="E46" s="73">
        <f>SUMIFS(Data!$K$2:$K$151,Data!$B$2:$B$151,E$19,Data!$A$2:$A$151,$A46)</f>
        <v>0</v>
      </c>
      <c r="F46" s="73">
        <f>SUMIFS(Data!$K$2:$K$151,Data!$B$2:$B$151,F$19,Data!$A$2:$A$151,$A46)</f>
        <v>0</v>
      </c>
      <c r="G46" s="74">
        <f>SUM(B46:F46)</f>
        <v>0</v>
      </c>
    </row>
    <row r="47">
      <c r="A47" s="41">
        <f>Demand!A42</f>
        <v>46293.0</v>
      </c>
      <c r="B47" s="73">
        <f>SUMIFS(Data!$K$2:$K$151,Data!$B$2:$B$151,B$19,Data!$A$2:$A$151,$A47)</f>
        <v>0</v>
      </c>
      <c r="C47" s="73">
        <f>SUMIFS(Data!$K$2:$K$151,Data!$B$2:$B$151,C$19,Data!$A$2:$A$151,$A47)</f>
        <v>0</v>
      </c>
      <c r="D47" s="73">
        <f>SUMIFS(Data!$K$2:$K$151,Data!$B$2:$B$151,D$19,Data!$A$2:$A$151,$A47)</f>
        <v>0</v>
      </c>
      <c r="E47" s="73">
        <f>SUMIFS(Data!$K$2:$K$151,Data!$B$2:$B$151,E$19,Data!$A$2:$A$151,$A47)</f>
        <v>0</v>
      </c>
      <c r="F47" s="73">
        <f>SUMIFS(Data!$K$2:$K$151,Data!$B$2:$B$151,F$19,Data!$A$2:$A$151,$A47)</f>
        <v>0</v>
      </c>
      <c r="G47" s="74">
        <f>SUM(B47:F47)</f>
        <v>0</v>
      </c>
    </row>
    <row r="48">
      <c r="A48" s="41">
        <f>Demand!A43</f>
        <v>46294.0</v>
      </c>
      <c r="B48" s="73">
        <f>SUMIFS(Data!$K$2:$K$151,Data!$B$2:$B$151,B$19,Data!$A$2:$A$151,$A48)</f>
        <v>0</v>
      </c>
      <c r="C48" s="73">
        <f>SUMIFS(Data!$K$2:$K$151,Data!$B$2:$B$151,C$19,Data!$A$2:$A$151,$A48)</f>
        <v>0</v>
      </c>
      <c r="D48" s="73">
        <f>SUMIFS(Data!$K$2:$K$151,Data!$B$2:$B$151,D$19,Data!$A$2:$A$151,$A48)</f>
        <v>0</v>
      </c>
      <c r="E48" s="73">
        <f>SUMIFS(Data!$K$2:$K$151,Data!$B$2:$B$151,E$19,Data!$A$2:$A$151,$A48)</f>
        <v>0</v>
      </c>
      <c r="F48" s="73">
        <f>SUMIFS(Data!$K$2:$K$151,Data!$B$2:$B$151,F$19,Data!$A$2:$A$151,$A48)</f>
        <v>0</v>
      </c>
      <c r="G48" s="74">
        <f>SUM(B48:F48)</f>
        <v>0</v>
      </c>
    </row>
    <row r="49">
      <c r="A49" s="41">
        <f>Demand!A44</f>
        <v>46295.0</v>
      </c>
      <c r="B49" s="73">
        <f>SUMIFS(Data!$K$2:$K$151,Data!$B$2:$B$151,B$19,Data!$A$2:$A$151,$A49)</f>
        <v>0</v>
      </c>
      <c r="C49" s="73">
        <f>SUMIFS(Data!$K$2:$K$151,Data!$B$2:$B$151,C$19,Data!$A$2:$A$151,$A49)</f>
        <v>0</v>
      </c>
      <c r="D49" s="73">
        <f>SUMIFS(Data!$K$2:$K$151,Data!$B$2:$B$151,D$19,Data!$A$2:$A$151,$A49)</f>
        <v>0</v>
      </c>
      <c r="E49" s="73">
        <f>SUMIFS(Data!$K$2:$K$151,Data!$B$2:$B$151,E$19,Data!$A$2:$A$151,$A49)</f>
        <v>0</v>
      </c>
      <c r="F49" s="73">
        <f>SUMIFS(Data!$K$2:$K$151,Data!$B$2:$B$151,F$19,Data!$A$2:$A$151,$A49)</f>
        <v>0</v>
      </c>
      <c r="G49" s="74">
        <f>SUM(B49:F49)</f>
        <v>0</v>
      </c>
    </row>
  </sheetData>
  <mergeCells count="3">
    <mergeCell ref="A2:K2"/>
    <mergeCell ref="A1:K1"/>
    <mergeCell ref="A18:K18"/>
  </mergeCells>
  <conditionalFormatting sqref="D9:D13">
    <cfRule type="dataBar" priority="1">
      <dataBar>
        <cfvo type="num" val="0"/>
        <cfvo type="max"/>
        <color rgb="00E76F51"/>
      </dataBar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9C46A"/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8" customWidth="1" min="3" max="3"/>
    <col width="62" customWidth="1" min="4" max="4"/>
    <col width="36" customWidth="1" min="5" max="5"/>
  </cols>
  <sheetData>
    <row r="1" ht="34" customHeight="1">
      <c r="A1" s="57" t="inlineStr">
        <is>
          <t>4 · Business Recommendations</t>
        </is>
      </c>
      <c r="B1" s="2" t="n"/>
      <c r="C1" s="2" t="n"/>
      <c r="D1" s="2" t="n"/>
      <c r="E1" s="2" t="n"/>
    </row>
    <row r="2">
      <c r="A2" s="3" t="inlineStr">
        <is>
          <t>Each finding below is calculated from the data (live formulas). Actions are simple steps the supply chain team can follow.</t>
        </is>
      </c>
    </row>
    <row r="4" ht="30" customHeight="1">
      <c r="A4" s="34" t="inlineStr">
        <is>
          <t>#</t>
        </is>
      </c>
      <c r="B4" s="34" t="inlineStr">
        <is>
          <t>Question</t>
        </is>
      </c>
      <c r="C4" s="34" t="inlineStr">
        <is>
          <t>What the data shows</t>
        </is>
      </c>
      <c r="D4" s="34" t="inlineStr">
        <is>
          <t>What we should do</t>
        </is>
      </c>
      <c r="E4" s="34" t="inlineStr">
        <is>
          <t>Expected benefit</t>
        </is>
      </c>
    </row>
    <row r="5" ht="78" customHeight="1">
      <c r="A5" s="75" t="n">
        <v>1</v>
      </c>
      <c r="B5" s="76" t="inlineStr">
        <is>
          <t>What to order?</t>
        </is>
      </c>
      <c r="C5" s="77" t="str">
        <f>"Potato and Onion are "&amp;TEXT((Waste!B10+Waste!B11)/Waste!B14,"0%")&amp;" of all demand. Total demand moves between "&amp;TEXT(MIN(Demand!G15:G44),"0")&amp;" and "&amp;TEXT(MAX(Demand!G15:G44),"0")&amp;" kg per day, so a fixed order size is risky."</f>
        <v>Potato and Onion are 54% of all demand. Total demand moves between 236 and 333 kg per day, so a fixed order size is risky.</v>
      </c>
      <c r="D5" s="77" t="inlineStr">
        <is>
          <t>Give Potato and Onion first priority in buying and storage space. Base every order on the 7-day average forecast and refresh the forecast every week.</t>
        </is>
      </c>
      <c r="E5" s="77" t="inlineStr">
        <is>
          <t>Right quantity ordered; fewer emergency purchases.</t>
        </is>
      </c>
    </row>
    <row r="6" ht="78" customHeight="1">
      <c r="A6" s="65" t="n">
        <v>2</v>
      </c>
      <c r="B6" s="78" t="inlineStr">
        <is>
          <t>What to order?</t>
        </is>
      </c>
      <c r="C6" s="79" t="str">
        <f>"The 7-day average forecast is off by about "&amp;TEXT(Demand!H10,"0.0%")&amp;" per day for total demand ("&amp;TEXT(Demand!I10,"0.0%")&amp;" accurate). Product-level accuracy ranges from "&amp;TEXT(MIN(Demand!I5:I9),"0%")&amp;" to "&amp;TEXT(MAX(Demand!I5:I9),"0%")&amp;"."</f>
        <v>The 7-day average forecast is off by about 7.4% per day for total demand (92.6% accurate). Product-level accuracy ranges from 81% to 86%.</v>
      </c>
      <c r="D6" s="79" t="inlineStr">
        <is>
          <t>Order quantity = forecast demand for the order cycle. Use the Suggested order qty column on the Inventory sheet. Add weekday, festival and weather effects when more data is available.</t>
        </is>
      </c>
      <c r="E6" s="79" t="inlineStr">
        <is>
          <t>Simple, explainable forecast the team can trust and improve.</t>
        </is>
      </c>
    </row>
    <row r="7" ht="78" customHeight="1">
      <c r="A7" s="75" t="n">
        <v>3</v>
      </c>
      <c r="B7" s="80" t="inlineStr">
        <is>
          <t>When to order?</t>
        </is>
      </c>
      <c r="C7" s="77" t="str">
        <f>"Current reorder points add up to "&amp;TEXT(Inventory!H14,"#,##0")&amp;" kg; the calculated ones add up to "&amp;TEXT(Inventory!G14,"#,##0")&amp;" kg (difference "&amp;TEXT(Inventory!H14-Inventory!G14,"#,##0")&amp;" kg). Product-days below the current reorder point this month: "&amp;Inventory!T14&amp;" (out of 150)."</f>
        <v>Current reorder points add up to 1,219 kg; the calculated ones add up to 1,100 kg (difference 119 kg). Product-days below the current reorder point this month: 32 (out of 150).</v>
      </c>
      <c r="D7" s="77" t="inlineStr">
        <is>
          <t>Use reorder point = avg daily demand × lead time + safety stock (95% service level). Review it every month with the operations team, and longest lead time items (Onion, Potato – 4 days) first.</t>
        </is>
      </c>
      <c r="E7" s="77" t="inlineStr">
        <is>
          <t>Lower stock held without risking stockouts.</t>
        </is>
      </c>
    </row>
    <row r="8" ht="78" customHeight="1">
      <c r="A8" s="65" t="n">
        <v>4</v>
      </c>
      <c r="B8" s="81" t="inlineStr">
        <is>
          <t>When to order?</t>
        </is>
      </c>
      <c r="C8" s="79" t="str">
        <f>(COUNTIF(Inventory!K9:K13,"ORDER NOW")+COUNTIF(Inventory!K9:K13,"WATCH"))&amp;" product(s) are at or near the reorder point today. Stockout days this month: "&amp;Inventory!R14&amp;"."</f>
        <v>1 product(s) are at or near the reorder point today. Stockout days this month: 0.</v>
      </c>
      <c r="D8" s="79" t="inlineStr">
        <is>
          <t>Use the Stock status column as a daily buying alert: ORDER NOW = place the order today; WATCH = call the supplier and keep the order ready.</t>
        </is>
      </c>
      <c r="E8" s="79" t="inlineStr">
        <is>
          <t>A simple daily routine for the procurement team.</t>
        </is>
      </c>
    </row>
    <row r="9" ht="78" customHeight="1">
      <c r="A9" s="75" t="n">
        <v>5</v>
      </c>
      <c r="B9" s="82" t="inlineStr">
        <is>
          <t>How to reduce waste?</t>
        </is>
      </c>
      <c r="C9" s="77" t="str">
        <f>"Waste is "&amp;TEXT(Waste!D14,"0.0%")&amp;" of demand ("&amp;TEXT(Waste!C14,"#,##0")&amp;" kg). It is recorded on only "&amp;Waste!B16&amp;" of 30 days, in lumps of up to "&amp;TEXT(Waste!B17,"0")&amp;" kg – this looks like old stock being written off in batches."</f>
        <v>Waste is 20.7% of demand (1,755 kg). It is recorded on only 6 of 30 days, in lumps of up to 352 kg – this looks like old stock being written off in batches.</v>
      </c>
      <c r="D9" s="77" t="inlineStr">
        <is>
          <t>Check stock age every day. Sell the oldest batch first (FEFO – First Expiry, First Out). Record received date and expiry date for every lot so the real cause (old stock, handling or quality) can be found.</t>
        </is>
      </c>
      <c r="E9" s="77" t="inlineStr">
        <is>
          <t>Find and remove the root cause of waste.</t>
        </is>
      </c>
    </row>
    <row r="10" ht="78" customHeight="1">
      <c r="A10" s="65" t="n">
        <v>6</v>
      </c>
      <c r="B10" s="83" t="inlineStr">
        <is>
          <t>How to reduce waste?</t>
        </is>
      </c>
      <c r="C10" s="79" t="str">
        <f>"Average stock held is "&amp;TEXT(Inventory!O14,"#,##0")&amp;" kg against a target of "&amp;TEXT(Inventory!P14,"#,##0")&amp;" kg – about "&amp;TEXT(Inventory!Q14,"#,##0")&amp;" kg extra. Fill rate is still "&amp;TEXT(Inventory!S14,"0%")&amp;"."</f>
        <v>Average stock held is 1,670 kg against a target of 720 kg – about 950 kg extra. Fill rate is still 100%.</v>
      </c>
      <c r="D10" s="79" t="inlineStr">
        <is>
          <t>Order smaller batches more often, especially for fast-spoiling Tomato, Cucumber and Capsicum. Keep the safety stock, but remove the extra buffer.</t>
        </is>
      </c>
      <c r="E10" s="79" t="str">
        <f>"Waste cut by "&amp;TEXT(Waste!B3,"0%")&amp;" saves about "&amp;TEXT(Waste!J14,"#,##0")&amp;" kg (≈ ₹"&amp;TEXT(Waste!K14,"#,##0")&amp;" at assumed prices)."</f>
        <v>Waste cut by 50% saves about 878 kg (≈ ₹24,777 at assumed prices).</v>
      </c>
    </row>
    <row r="11" ht="78" customHeight="1">
      <c r="A11" s="75" t="n">
        <v>7</v>
      </c>
      <c r="B11" s="82" t="inlineStr">
        <is>
          <t>How to reduce waste?</t>
        </is>
      </c>
      <c r="C11" s="77" t="str">
        <f>"Tomato, Cucumber and Capsicum lose "&amp;TEXT(Waste!C9+Waste!C12+Waste!C13,"#,##0")&amp;" kg together ("&amp;TEXT((Waste!C9+Waste!C12+Waste!C13)/Waste!C14,"0%")&amp;" of all waste)."</f>
        <v>Tomato, Cucumber and Capsicum lose 809 kg together (46% of all waste).</v>
      </c>
      <c r="D11" s="77" t="inlineStr">
        <is>
          <t>Send near-expiry stock to cut / chopped and ready-to-use products (Fambo's value-added line) or offer a quick sale to HoReCa customers before it spoils.</t>
        </is>
      </c>
      <c r="E11" s="77" t="inlineStr">
        <is>
          <t>Turns waste into sales.</t>
        </is>
      </c>
    </row>
    <row r="12" ht="78" customHeight="1">
      <c r="A12" s="65" t="n">
        <v>8</v>
      </c>
      <c r="B12" s="84" t="inlineStr">
        <is>
          <t>Next steps</t>
        </is>
      </c>
      <c r="C12" s="79" t="inlineStr">
        <is>
          <t>All values in this project are simulated. Shelf life, buying price, supplier on-time delivery and customer order data are not available.</t>
        </is>
      </c>
      <c r="D12" s="79" t="inlineStr">
        <is>
          <t>With real data: add shelf life per product, supplier on-time %, price per kg and customer-wise orders; then recalculate service level, costs and savings.</t>
        </is>
      </c>
      <c r="E12" s="79" t="inlineStr">
        <is>
          <t>Moves the model from practice to real decisions.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9AA5A0"/>
    <outlinePr summaryBelow="1" summaryRight="1"/>
    <pageSetUpPr fitToPage="1"/>
  </sheetPr>
  <dimension ref="A1:P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  <col width="11" customWidth="1" min="9" max="9"/>
    <col width="11" customWidth="1" min="10" max="10"/>
    <col width="11" customWidth="1" min="11" max="11"/>
    <col width="9" customWidth="1" min="12" max="12"/>
    <col width="11" customWidth="1" min="13" max="13"/>
    <col width="9" customWidth="1" min="14" max="14"/>
    <col width="12" customWidth="1" min="15" max="15"/>
    <col width="10" customWidth="1" min="16" max="16"/>
  </cols>
  <sheetData>
    <row r="1" ht="44" customHeight="1">
      <c r="A1" s="34" t="inlineStr">
        <is>
          <t>Date</t>
        </is>
      </c>
      <c r="B1" s="34" t="inlineStr">
        <is>
          <t>Product</t>
        </is>
      </c>
      <c r="C1" s="34" t="inlineStr">
        <is>
          <t>Opening Stock (kg)</t>
        </is>
      </c>
      <c r="D1" s="34" t="inlineStr">
        <is>
          <t>Demand (kg)</t>
        </is>
      </c>
      <c r="E1" s="34" t="inlineStr">
        <is>
          <t>Received (kg)</t>
        </is>
      </c>
      <c r="F1" s="34" t="inlineStr">
        <is>
          <t>Closing Stock (kg)</t>
        </is>
      </c>
      <c r="G1" s="34" t="inlineStr">
        <is>
          <t>Lead Time (days)</t>
        </is>
      </c>
      <c r="H1" s="34" t="inlineStr">
        <is>
          <t>Avg Daily Demand (kg)</t>
        </is>
      </c>
      <c r="I1" s="34" t="inlineStr">
        <is>
          <t>Safety Stock (kg)</t>
        </is>
      </c>
      <c r="J1" s="34" t="inlineStr">
        <is>
          <t>Reorder Point (kg)</t>
        </is>
      </c>
      <c r="K1" s="34" t="inlineStr">
        <is>
          <t>Expiry/Waste (kg)</t>
        </is>
      </c>
      <c r="L1" s="34" t="inlineStr">
        <is>
          <t>Fill Rate</t>
        </is>
      </c>
      <c r="M1" s="34" t="inlineStr">
        <is>
          <t>Waste % of Demand</t>
        </is>
      </c>
      <c r="N1" s="34" t="inlineStr">
        <is>
          <t>Days of Cover</t>
        </is>
      </c>
      <c r="O1" s="34" t="inlineStr">
        <is>
          <t>Below Reorder Pt (1=yes)</t>
        </is>
      </c>
      <c r="P1" s="34" t="inlineStr">
        <is>
          <t>Stockout (1=yes)</t>
        </is>
      </c>
    </row>
    <row r="2">
      <c r="A2" s="85" t="n">
        <v>46266</v>
      </c>
      <c r="B2" s="86" t="inlineStr">
        <is>
          <t>Tomato</t>
        </is>
      </c>
      <c r="C2" s="65" t="n">
        <v>450</v>
      </c>
      <c r="D2" s="65" t="n">
        <v>48</v>
      </c>
      <c r="E2" s="65" t="n">
        <v>0</v>
      </c>
      <c r="F2" s="65">
        <f>C2+E2-D2-K2</f>
        <v>322</v>
      </c>
      <c r="G2" s="65" t="n">
        <v>3</v>
      </c>
      <c r="H2" s="65" t="n">
        <v>58</v>
      </c>
      <c r="I2" s="65" t="n">
        <v>50</v>
      </c>
      <c r="J2" s="65" t="n">
        <v>224</v>
      </c>
      <c r="K2" s="65" t="n">
        <v>80</v>
      </c>
      <c r="L2" s="87">
        <f>IF(D2&gt;0,MIN(1,(C2+E2)/D2),1)</f>
        <v>1</v>
      </c>
      <c r="M2" s="88">
        <f>IF(D2&gt;0,K2/D2,0)</f>
        <v>1.66666666666667</v>
      </c>
      <c r="N2" s="89">
        <f>IF(H2&gt;0,F2/H2,0)</f>
        <v>5.55172413793104</v>
      </c>
      <c r="O2" s="65">
        <f>IF(F2&lt;J2,1,0)</f>
        <v>0</v>
      </c>
      <c r="P2" s="65">
        <f>IF(C2+E2&lt;D2,1,0)</f>
        <v>0</v>
      </c>
    </row>
    <row r="3">
      <c r="A3" s="90" t="n">
        <v>46266</v>
      </c>
      <c r="B3" s="91" t="inlineStr">
        <is>
          <t>Onion</t>
        </is>
      </c>
      <c r="C3" s="75" t="n">
        <v>650</v>
      </c>
      <c r="D3" s="75" t="n">
        <v>80</v>
      </c>
      <c r="E3" s="75" t="n">
        <v>0</v>
      </c>
      <c r="F3" s="75">
        <f>C3+E3-D3-K3</f>
        <v>484</v>
      </c>
      <c r="G3" s="75" t="n">
        <v>4</v>
      </c>
      <c r="H3" s="75" t="n">
        <v>72</v>
      </c>
      <c r="I3" s="75" t="n">
        <v>72</v>
      </c>
      <c r="J3" s="75" t="n">
        <v>360</v>
      </c>
      <c r="K3" s="75" t="n">
        <v>86</v>
      </c>
      <c r="L3" s="42">
        <f>IF(D3&gt;0,MIN(1,(C3+E3)/D3),1)</f>
        <v>1</v>
      </c>
      <c r="M3" s="38">
        <f>IF(D3&gt;0,K3/D3,0)</f>
        <v>1.075</v>
      </c>
      <c r="N3" s="39">
        <f>IF(H3&gt;0,F3/H3,0)</f>
        <v>6.72222222222222</v>
      </c>
      <c r="O3" s="75">
        <f>IF(F3&lt;J3,1,0)</f>
        <v>0</v>
      </c>
      <c r="P3" s="75">
        <f>IF(C3+E3&lt;D3,1,0)</f>
        <v>0</v>
      </c>
    </row>
    <row r="4">
      <c r="A4" s="85" t="n">
        <v>46266</v>
      </c>
      <c r="B4" s="86" t="inlineStr">
        <is>
          <t>Potato</t>
        </is>
      </c>
      <c r="C4" s="65" t="n">
        <v>700</v>
      </c>
      <c r="D4" s="65" t="n">
        <v>74</v>
      </c>
      <c r="E4" s="65" t="n">
        <v>0</v>
      </c>
      <c r="F4" s="65">
        <f>C4+E4-D4-K4</f>
        <v>551</v>
      </c>
      <c r="G4" s="65" t="n">
        <v>4</v>
      </c>
      <c r="H4" s="65" t="n">
        <v>80</v>
      </c>
      <c r="I4" s="65" t="n">
        <v>80</v>
      </c>
      <c r="J4" s="65" t="n">
        <v>400</v>
      </c>
      <c r="K4" s="65" t="n">
        <v>75</v>
      </c>
      <c r="L4" s="87">
        <f>IF(D4&gt;0,MIN(1,(C4+E4)/D4),1)</f>
        <v>1</v>
      </c>
      <c r="M4" s="88">
        <f>IF(D4&gt;0,K4/D4,0)</f>
        <v>1.01351351351351</v>
      </c>
      <c r="N4" s="89">
        <f>IF(H4&gt;0,F4/H4,0)</f>
        <v>6.8875</v>
      </c>
      <c r="O4" s="65">
        <f>IF(F4&lt;J4,1,0)</f>
        <v>0</v>
      </c>
      <c r="P4" s="65">
        <f>IF(C4+E4&lt;D4,1,0)</f>
        <v>0</v>
      </c>
    </row>
    <row r="5">
      <c r="A5" s="90" t="n">
        <v>46266</v>
      </c>
      <c r="B5" s="91" t="inlineStr">
        <is>
          <t>Cucumber</t>
        </is>
      </c>
      <c r="C5" s="75" t="n">
        <v>300</v>
      </c>
      <c r="D5" s="75" t="n">
        <v>32</v>
      </c>
      <c r="E5" s="75" t="n">
        <v>0</v>
      </c>
      <c r="F5" s="75">
        <f>C5+E5-D5-K5</f>
        <v>201</v>
      </c>
      <c r="G5" s="75" t="n">
        <v>2</v>
      </c>
      <c r="H5" s="75" t="n">
        <v>38</v>
      </c>
      <c r="I5" s="75" t="n">
        <v>27</v>
      </c>
      <c r="J5" s="75" t="n">
        <v>103</v>
      </c>
      <c r="K5" s="75" t="n">
        <v>67</v>
      </c>
      <c r="L5" s="42">
        <f>IF(D5&gt;0,MIN(1,(C5+E5)/D5),1)</f>
        <v>1</v>
      </c>
      <c r="M5" s="38">
        <f>IF(D5&gt;0,K5/D5,0)</f>
        <v>2.09375</v>
      </c>
      <c r="N5" s="39">
        <f>IF(H5&gt;0,F5/H5,0)</f>
        <v>5.28947368421053</v>
      </c>
      <c r="O5" s="75">
        <f>IF(F5&lt;J5,1,0)</f>
        <v>0</v>
      </c>
      <c r="P5" s="75">
        <f>IF(C5+E5&lt;D5,1,0)</f>
        <v>0</v>
      </c>
    </row>
    <row r="6">
      <c r="A6" s="85" t="n">
        <v>46266</v>
      </c>
      <c r="B6" s="86" t="inlineStr">
        <is>
          <t>Capsicum</t>
        </is>
      </c>
      <c r="C6" s="65" t="n">
        <v>250</v>
      </c>
      <c r="D6" s="65" t="n">
        <v>30</v>
      </c>
      <c r="E6" s="65" t="n">
        <v>0</v>
      </c>
      <c r="F6" s="65">
        <f>C6+E6-D6-K6</f>
        <v>176</v>
      </c>
      <c r="G6" s="65" t="n">
        <v>3</v>
      </c>
      <c r="H6" s="65" t="n">
        <v>30</v>
      </c>
      <c r="I6" s="65" t="n">
        <v>26</v>
      </c>
      <c r="J6" s="65" t="n">
        <v>116</v>
      </c>
      <c r="K6" s="65" t="n">
        <v>44</v>
      </c>
      <c r="L6" s="87">
        <f>IF(D6&gt;0,MIN(1,(C6+E6)/D6),1)</f>
        <v>1</v>
      </c>
      <c r="M6" s="88">
        <f>IF(D6&gt;0,K6/D6,0)</f>
        <v>1.46666666666667</v>
      </c>
      <c r="N6" s="89">
        <f>IF(H6&gt;0,F6/H6,0)</f>
        <v>5.86666666666667</v>
      </c>
      <c r="O6" s="65">
        <f>IF(F6&lt;J6,1,0)</f>
        <v>0</v>
      </c>
      <c r="P6" s="65">
        <f>IF(C6+E6&lt;D6,1,0)</f>
        <v>0</v>
      </c>
    </row>
    <row r="7">
      <c r="A7" s="90" t="n">
        <v>46267</v>
      </c>
      <c r="B7" s="91" t="inlineStr">
        <is>
          <t>Tomato</t>
        </is>
      </c>
      <c r="C7" s="75" t="n">
        <v>322</v>
      </c>
      <c r="D7" s="75" t="n">
        <v>59</v>
      </c>
      <c r="E7" s="75" t="n">
        <v>0</v>
      </c>
      <c r="F7" s="75">
        <f>C7+E7-D7-K7</f>
        <v>263</v>
      </c>
      <c r="G7" s="75" t="n">
        <v>3</v>
      </c>
      <c r="H7" s="75" t="n">
        <v>48</v>
      </c>
      <c r="I7" s="75" t="n">
        <v>42</v>
      </c>
      <c r="J7" s="75" t="n">
        <v>186</v>
      </c>
      <c r="K7" s="75" t="n">
        <v>0</v>
      </c>
      <c r="L7" s="42">
        <f>IF(D7&gt;0,MIN(1,(C7+E7)/D7),1)</f>
        <v>1</v>
      </c>
      <c r="M7" s="38">
        <f>IF(D7&gt;0,K7/D7,0)</f>
        <v>0</v>
      </c>
      <c r="N7" s="39">
        <f>IF(H7&gt;0,F7/H7,0)</f>
        <v>5.47916666666667</v>
      </c>
      <c r="O7" s="75">
        <f>IF(F7&lt;J7,1,0)</f>
        <v>0</v>
      </c>
      <c r="P7" s="75">
        <f>IF(C7+E7&lt;D7,1,0)</f>
        <v>0</v>
      </c>
    </row>
    <row r="8">
      <c r="A8" s="85" t="n">
        <v>46267</v>
      </c>
      <c r="B8" s="86" t="inlineStr">
        <is>
          <t>Onion</t>
        </is>
      </c>
      <c r="C8" s="65" t="n">
        <v>484</v>
      </c>
      <c r="D8" s="65" t="n">
        <v>73</v>
      </c>
      <c r="E8" s="65" t="n">
        <v>0</v>
      </c>
      <c r="F8" s="65">
        <f>C8+E8-D8-K8</f>
        <v>411</v>
      </c>
      <c r="G8" s="65" t="n">
        <v>4</v>
      </c>
      <c r="H8" s="65" t="n">
        <v>80</v>
      </c>
      <c r="I8" s="65" t="n">
        <v>80</v>
      </c>
      <c r="J8" s="65" t="n">
        <v>400</v>
      </c>
      <c r="K8" s="65" t="n">
        <v>0</v>
      </c>
      <c r="L8" s="87">
        <f>IF(D8&gt;0,MIN(1,(C8+E8)/D8),1)</f>
        <v>1</v>
      </c>
      <c r="M8" s="88">
        <f>IF(D8&gt;0,K8/D8,0)</f>
        <v>0</v>
      </c>
      <c r="N8" s="89">
        <f>IF(H8&gt;0,F8/H8,0)</f>
        <v>5.1375</v>
      </c>
      <c r="O8" s="65">
        <f>IF(F8&lt;J8,1,0)</f>
        <v>0</v>
      </c>
      <c r="P8" s="65">
        <f>IF(C8+E8&lt;D8,1,0)</f>
        <v>0</v>
      </c>
    </row>
    <row r="9">
      <c r="A9" s="90" t="n">
        <v>46267</v>
      </c>
      <c r="B9" s="91" t="inlineStr">
        <is>
          <t>Potato</t>
        </is>
      </c>
      <c r="C9" s="75" t="n">
        <v>551</v>
      </c>
      <c r="D9" s="75" t="n">
        <v>80</v>
      </c>
      <c r="E9" s="75" t="n">
        <v>0</v>
      </c>
      <c r="F9" s="75">
        <f>C9+E9-D9-K9</f>
        <v>471</v>
      </c>
      <c r="G9" s="75" t="n">
        <v>4</v>
      </c>
      <c r="H9" s="75" t="n">
        <v>74</v>
      </c>
      <c r="I9" s="75" t="n">
        <v>74</v>
      </c>
      <c r="J9" s="75" t="n">
        <v>370</v>
      </c>
      <c r="K9" s="75" t="n">
        <v>0</v>
      </c>
      <c r="L9" s="42">
        <f>IF(D9&gt;0,MIN(1,(C9+E9)/D9),1)</f>
        <v>1</v>
      </c>
      <c r="M9" s="38">
        <f>IF(D9&gt;0,K9/D9,0)</f>
        <v>0</v>
      </c>
      <c r="N9" s="39">
        <f>IF(H9&gt;0,F9/H9,0)</f>
        <v>6.36486486486487</v>
      </c>
      <c r="O9" s="75">
        <f>IF(F9&lt;J9,1,0)</f>
        <v>0</v>
      </c>
      <c r="P9" s="75">
        <f>IF(C9+E9&lt;D9,1,0)</f>
        <v>0</v>
      </c>
    </row>
    <row r="10">
      <c r="A10" s="85" t="n">
        <v>46267</v>
      </c>
      <c r="B10" s="86" t="inlineStr">
        <is>
          <t>Cucumber</t>
        </is>
      </c>
      <c r="C10" s="65" t="n">
        <v>201</v>
      </c>
      <c r="D10" s="65" t="n">
        <v>33</v>
      </c>
      <c r="E10" s="65" t="n">
        <v>0</v>
      </c>
      <c r="F10" s="65">
        <f>C10+E10-D10-K10</f>
        <v>168</v>
      </c>
      <c r="G10" s="65" t="n">
        <v>2</v>
      </c>
      <c r="H10" s="65" t="n">
        <v>32</v>
      </c>
      <c r="I10" s="65" t="n">
        <v>23</v>
      </c>
      <c r="J10" s="65" t="n">
        <v>87</v>
      </c>
      <c r="K10" s="65" t="n">
        <v>0</v>
      </c>
      <c r="L10" s="87">
        <f>IF(D10&gt;0,MIN(1,(C10+E10)/D10),1)</f>
        <v>1</v>
      </c>
      <c r="M10" s="88">
        <f>IF(D10&gt;0,K10/D10,0)</f>
        <v>0</v>
      </c>
      <c r="N10" s="89">
        <f>IF(H10&gt;0,F10/H10,0)</f>
        <v>5.25</v>
      </c>
      <c r="O10" s="65">
        <f>IF(F10&lt;J10,1,0)</f>
        <v>0</v>
      </c>
      <c r="P10" s="65">
        <f>IF(C10+E10&lt;D10,1,0)</f>
        <v>0</v>
      </c>
    </row>
    <row r="11">
      <c r="A11" s="90" t="n">
        <v>46267</v>
      </c>
      <c r="B11" s="91" t="inlineStr">
        <is>
          <t>Capsicum</t>
        </is>
      </c>
      <c r="C11" s="75" t="n">
        <v>176</v>
      </c>
      <c r="D11" s="75" t="n">
        <v>26</v>
      </c>
      <c r="E11" s="75" t="n">
        <v>0</v>
      </c>
      <c r="F11" s="75">
        <f>C11+E11-D11-K11</f>
        <v>150</v>
      </c>
      <c r="G11" s="75" t="n">
        <v>3</v>
      </c>
      <c r="H11" s="75" t="n">
        <v>30</v>
      </c>
      <c r="I11" s="75" t="n">
        <v>26</v>
      </c>
      <c r="J11" s="75" t="n">
        <v>116</v>
      </c>
      <c r="K11" s="75" t="n">
        <v>0</v>
      </c>
      <c r="L11" s="42">
        <f>IF(D11&gt;0,MIN(1,(C11+E11)/D11),1)</f>
        <v>1</v>
      </c>
      <c r="M11" s="38">
        <f>IF(D11&gt;0,K11/D11,0)</f>
        <v>0</v>
      </c>
      <c r="N11" s="39">
        <f>IF(H11&gt;0,F11/H11,0)</f>
        <v>5</v>
      </c>
      <c r="O11" s="75">
        <f>IF(F11&lt;J11,1,0)</f>
        <v>0</v>
      </c>
      <c r="P11" s="75">
        <f>IF(C11+E11&lt;D11,1,0)</f>
        <v>0</v>
      </c>
    </row>
    <row r="12">
      <c r="A12" s="85" t="n">
        <v>46268</v>
      </c>
      <c r="B12" s="86" t="inlineStr">
        <is>
          <t>Tomato</t>
        </is>
      </c>
      <c r="C12" s="65" t="n">
        <v>263</v>
      </c>
      <c r="D12" s="65" t="n">
        <v>66</v>
      </c>
      <c r="E12" s="65" t="n">
        <v>0</v>
      </c>
      <c r="F12" s="65">
        <f>C12+E12-D12-K12</f>
        <v>197</v>
      </c>
      <c r="G12" s="65" t="n">
        <v>3</v>
      </c>
      <c r="H12" s="65" t="n">
        <v>53.5</v>
      </c>
      <c r="I12" s="65" t="n">
        <v>46</v>
      </c>
      <c r="J12" s="65" t="n">
        <v>206</v>
      </c>
      <c r="K12" s="65" t="n">
        <v>0</v>
      </c>
      <c r="L12" s="87">
        <f>IF(D12&gt;0,MIN(1,(C12+E12)/D12),1)</f>
        <v>1</v>
      </c>
      <c r="M12" s="88">
        <f>IF(D12&gt;0,K12/D12,0)</f>
        <v>0</v>
      </c>
      <c r="N12" s="89">
        <f>IF(H12&gt;0,F12/H12,0)</f>
        <v>3.68224299065421</v>
      </c>
      <c r="O12" s="65">
        <f>IF(F12&lt;J12,1,0)</f>
        <v>1</v>
      </c>
      <c r="P12" s="65">
        <f>IF(C12+E12&lt;D12,1,0)</f>
        <v>0</v>
      </c>
    </row>
    <row r="13">
      <c r="A13" s="90" t="n">
        <v>46268</v>
      </c>
      <c r="B13" s="91" t="inlineStr">
        <is>
          <t>Onion</t>
        </is>
      </c>
      <c r="C13" s="75" t="n">
        <v>411</v>
      </c>
      <c r="D13" s="75" t="n">
        <v>66</v>
      </c>
      <c r="E13" s="75" t="n">
        <v>0</v>
      </c>
      <c r="F13" s="75">
        <f>C13+E13-D13-K13</f>
        <v>345</v>
      </c>
      <c r="G13" s="75" t="n">
        <v>4</v>
      </c>
      <c r="H13" s="75" t="n">
        <v>76.5</v>
      </c>
      <c r="I13" s="75" t="n">
        <v>76</v>
      </c>
      <c r="J13" s="75" t="n">
        <v>382</v>
      </c>
      <c r="K13" s="75" t="n">
        <v>0</v>
      </c>
      <c r="L13" s="42">
        <f>IF(D13&gt;0,MIN(1,(C13+E13)/D13),1)</f>
        <v>1</v>
      </c>
      <c r="M13" s="38">
        <f>IF(D13&gt;0,K13/D13,0)</f>
        <v>0</v>
      </c>
      <c r="N13" s="39">
        <f>IF(H13&gt;0,F13/H13,0)</f>
        <v>4.50980392156863</v>
      </c>
      <c r="O13" s="75">
        <f>IF(F13&lt;J13,1,0)</f>
        <v>1</v>
      </c>
      <c r="P13" s="75">
        <f>IF(C13+E13&lt;D13,1,0)</f>
        <v>0</v>
      </c>
    </row>
    <row r="14">
      <c r="A14" s="85" t="n">
        <v>46268</v>
      </c>
      <c r="B14" s="86" t="inlineStr">
        <is>
          <t>Potato</t>
        </is>
      </c>
      <c r="C14" s="65" t="n">
        <v>471</v>
      </c>
      <c r="D14" s="65" t="n">
        <v>90</v>
      </c>
      <c r="E14" s="65" t="n">
        <v>0</v>
      </c>
      <c r="F14" s="65">
        <f>C14+E14-D14-K14</f>
        <v>381</v>
      </c>
      <c r="G14" s="65" t="n">
        <v>4</v>
      </c>
      <c r="H14" s="65" t="n">
        <v>77</v>
      </c>
      <c r="I14" s="65" t="n">
        <v>77</v>
      </c>
      <c r="J14" s="65" t="n">
        <v>385</v>
      </c>
      <c r="K14" s="65" t="n">
        <v>0</v>
      </c>
      <c r="L14" s="87">
        <f>IF(D14&gt;0,MIN(1,(C14+E14)/D14),1)</f>
        <v>1</v>
      </c>
      <c r="M14" s="88">
        <f>IF(D14&gt;0,K14/D14,0)</f>
        <v>0</v>
      </c>
      <c r="N14" s="89">
        <f>IF(H14&gt;0,F14/H14,0)</f>
        <v>4.94805194805195</v>
      </c>
      <c r="O14" s="65">
        <f>IF(F14&lt;J14,1,0)</f>
        <v>1</v>
      </c>
      <c r="P14" s="65">
        <f>IF(C14+E14&lt;D14,1,0)</f>
        <v>0</v>
      </c>
    </row>
    <row r="15">
      <c r="A15" s="90" t="n">
        <v>46268</v>
      </c>
      <c r="B15" s="91" t="inlineStr">
        <is>
          <t>Cucumber</t>
        </is>
      </c>
      <c r="C15" s="75" t="n">
        <v>168</v>
      </c>
      <c r="D15" s="75" t="n">
        <v>45</v>
      </c>
      <c r="E15" s="75" t="n">
        <v>0</v>
      </c>
      <c r="F15" s="75">
        <f>C15+E15-D15-K15</f>
        <v>123</v>
      </c>
      <c r="G15" s="75" t="n">
        <v>2</v>
      </c>
      <c r="H15" s="75" t="n">
        <v>32.5</v>
      </c>
      <c r="I15" s="75" t="n">
        <v>23</v>
      </c>
      <c r="J15" s="75" t="n">
        <v>88</v>
      </c>
      <c r="K15" s="75" t="n">
        <v>0</v>
      </c>
      <c r="L15" s="42">
        <f>IF(D15&gt;0,MIN(1,(C15+E15)/D15),1)</f>
        <v>1</v>
      </c>
      <c r="M15" s="38">
        <f>IF(D15&gt;0,K15/D15,0)</f>
        <v>0</v>
      </c>
      <c r="N15" s="39">
        <f>IF(H15&gt;0,F15/H15,0)</f>
        <v>3.78461538461538</v>
      </c>
      <c r="O15" s="75">
        <f>IF(F15&lt;J15,1,0)</f>
        <v>0</v>
      </c>
      <c r="P15" s="75">
        <f>IF(C15+E15&lt;D15,1,0)</f>
        <v>0</v>
      </c>
    </row>
    <row r="16">
      <c r="A16" s="85" t="n">
        <v>46268</v>
      </c>
      <c r="B16" s="86" t="inlineStr">
        <is>
          <t>Capsicum</t>
        </is>
      </c>
      <c r="C16" s="65" t="n">
        <v>150</v>
      </c>
      <c r="D16" s="65" t="n">
        <v>37</v>
      </c>
      <c r="E16" s="65" t="n">
        <v>0</v>
      </c>
      <c r="F16" s="65">
        <f>C16+E16-D16-K16</f>
        <v>113</v>
      </c>
      <c r="G16" s="65" t="n">
        <v>3</v>
      </c>
      <c r="H16" s="65" t="n">
        <v>28</v>
      </c>
      <c r="I16" s="65" t="n">
        <v>24</v>
      </c>
      <c r="J16" s="65" t="n">
        <v>108</v>
      </c>
      <c r="K16" s="65" t="n">
        <v>0</v>
      </c>
      <c r="L16" s="87">
        <f>IF(D16&gt;0,MIN(1,(C16+E16)/D16),1)</f>
        <v>1</v>
      </c>
      <c r="M16" s="88">
        <f>IF(D16&gt;0,K16/D16,0)</f>
        <v>0</v>
      </c>
      <c r="N16" s="89">
        <f>IF(H16&gt;0,F16/H16,0)</f>
        <v>4.03571428571429</v>
      </c>
      <c r="O16" s="65">
        <f>IF(F16&lt;J16,1,0)</f>
        <v>0</v>
      </c>
      <c r="P16" s="65">
        <f>IF(C16+E16&lt;D16,1,0)</f>
        <v>0</v>
      </c>
    </row>
    <row r="17">
      <c r="A17" s="90" t="n">
        <v>46269</v>
      </c>
      <c r="B17" s="91" t="inlineStr">
        <is>
          <t>Tomato</t>
        </is>
      </c>
      <c r="C17" s="75" t="n">
        <v>197</v>
      </c>
      <c r="D17" s="75" t="n">
        <v>75</v>
      </c>
      <c r="E17" s="75" t="n">
        <v>288</v>
      </c>
      <c r="F17" s="75">
        <f>C17+E17-D17-K17</f>
        <v>410</v>
      </c>
      <c r="G17" s="75" t="n">
        <v>3</v>
      </c>
      <c r="H17" s="75" t="n">
        <v>57.7</v>
      </c>
      <c r="I17" s="75" t="n">
        <v>50</v>
      </c>
      <c r="J17" s="75" t="n">
        <v>223</v>
      </c>
      <c r="K17" s="75" t="n">
        <v>0</v>
      </c>
      <c r="L17" s="42">
        <f>IF(D17&gt;0,MIN(1,(C17+E17)/D17),1)</f>
        <v>1</v>
      </c>
      <c r="M17" s="38">
        <f>IF(D17&gt;0,K17/D17,0)</f>
        <v>0</v>
      </c>
      <c r="N17" s="39">
        <f>IF(H17&gt;0,F17/H17,0)</f>
        <v>7.10571923743501</v>
      </c>
      <c r="O17" s="75">
        <f>IF(F17&lt;J17,1,0)</f>
        <v>0</v>
      </c>
      <c r="P17" s="75">
        <f>IF(C17+E17&lt;D17,1,0)</f>
        <v>0</v>
      </c>
    </row>
    <row r="18">
      <c r="A18" s="85" t="n">
        <v>46269</v>
      </c>
      <c r="B18" s="86" t="inlineStr">
        <is>
          <t>Onion</t>
        </is>
      </c>
      <c r="C18" s="65" t="n">
        <v>345</v>
      </c>
      <c r="D18" s="65" t="n">
        <v>62</v>
      </c>
      <c r="E18" s="65" t="n">
        <v>438</v>
      </c>
      <c r="F18" s="65">
        <f>C18+E18-D18-K18</f>
        <v>721</v>
      </c>
      <c r="G18" s="65" t="n">
        <v>4</v>
      </c>
      <c r="H18" s="65" t="n">
        <v>73</v>
      </c>
      <c r="I18" s="65" t="n">
        <v>73</v>
      </c>
      <c r="J18" s="65" t="n">
        <v>365</v>
      </c>
      <c r="K18" s="65" t="n">
        <v>0</v>
      </c>
      <c r="L18" s="87">
        <f>IF(D18&gt;0,MIN(1,(C18+E18)/D18),1)</f>
        <v>1</v>
      </c>
      <c r="M18" s="88">
        <f>IF(D18&gt;0,K18/D18,0)</f>
        <v>0</v>
      </c>
      <c r="N18" s="89">
        <f>IF(H18&gt;0,F18/H18,0)</f>
        <v>9.87671232876712</v>
      </c>
      <c r="O18" s="65">
        <f>IF(F18&lt;J18,1,0)</f>
        <v>0</v>
      </c>
      <c r="P18" s="65">
        <f>IF(C18+E18&lt;D18,1,0)</f>
        <v>0</v>
      </c>
    </row>
    <row r="19">
      <c r="A19" s="90" t="n">
        <v>46269</v>
      </c>
      <c r="B19" s="91" t="inlineStr">
        <is>
          <t>Potato</t>
        </is>
      </c>
      <c r="C19" s="75" t="n">
        <v>381</v>
      </c>
      <c r="D19" s="75" t="n">
        <v>69</v>
      </c>
      <c r="E19" s="75" t="n">
        <v>488</v>
      </c>
      <c r="F19" s="75">
        <f>C19+E19-D19-K19</f>
        <v>800</v>
      </c>
      <c r="G19" s="75" t="n">
        <v>4</v>
      </c>
      <c r="H19" s="75" t="n">
        <v>81.3</v>
      </c>
      <c r="I19" s="75" t="n">
        <v>81</v>
      </c>
      <c r="J19" s="75" t="n">
        <v>406</v>
      </c>
      <c r="K19" s="75" t="n">
        <v>0</v>
      </c>
      <c r="L19" s="42">
        <f>IF(D19&gt;0,MIN(1,(C19+E19)/D19),1)</f>
        <v>1</v>
      </c>
      <c r="M19" s="38">
        <f>IF(D19&gt;0,K19/D19,0)</f>
        <v>0</v>
      </c>
      <c r="N19" s="39">
        <f>IF(H19&gt;0,F19/H19,0)</f>
        <v>9.84009840098401</v>
      </c>
      <c r="O19" s="75">
        <f>IF(F19&lt;J19,1,0)</f>
        <v>0</v>
      </c>
      <c r="P19" s="75">
        <f>IF(C19+E19&lt;D19,1,0)</f>
        <v>0</v>
      </c>
    </row>
    <row r="20">
      <c r="A20" s="85" t="n">
        <v>46269</v>
      </c>
      <c r="B20" s="86" t="inlineStr">
        <is>
          <t>Cucumber</t>
        </is>
      </c>
      <c r="C20" s="65" t="n">
        <v>123</v>
      </c>
      <c r="D20" s="65" t="n">
        <v>44</v>
      </c>
      <c r="E20" s="65" t="n">
        <v>0</v>
      </c>
      <c r="F20" s="65">
        <f>C20+E20-D20-K20</f>
        <v>79</v>
      </c>
      <c r="G20" s="65" t="n">
        <v>2</v>
      </c>
      <c r="H20" s="65" t="n">
        <v>36.7</v>
      </c>
      <c r="I20" s="65" t="n">
        <v>26</v>
      </c>
      <c r="J20" s="65" t="n">
        <v>99</v>
      </c>
      <c r="K20" s="65" t="n">
        <v>0</v>
      </c>
      <c r="L20" s="87">
        <f>IF(D20&gt;0,MIN(1,(C20+E20)/D20),1)</f>
        <v>1</v>
      </c>
      <c r="M20" s="88">
        <f>IF(D20&gt;0,K20/D20,0)</f>
        <v>0</v>
      </c>
      <c r="N20" s="89">
        <f>IF(H20&gt;0,F20/H20,0)</f>
        <v>2.15258855585831</v>
      </c>
      <c r="O20" s="65">
        <f>IF(F20&lt;J20,1,0)</f>
        <v>1</v>
      </c>
      <c r="P20" s="65">
        <f>IF(C20+E20&lt;D20,1,0)</f>
        <v>0</v>
      </c>
    </row>
    <row r="21">
      <c r="A21" s="90" t="n">
        <v>46269</v>
      </c>
      <c r="B21" s="91" t="inlineStr">
        <is>
          <t>Capsicum</t>
        </is>
      </c>
      <c r="C21" s="75" t="n">
        <v>113</v>
      </c>
      <c r="D21" s="75" t="n">
        <v>32</v>
      </c>
      <c r="E21" s="75" t="n">
        <v>155</v>
      </c>
      <c r="F21" s="75">
        <f>C21+E21-D21-K21</f>
        <v>236</v>
      </c>
      <c r="G21" s="75" t="n">
        <v>3</v>
      </c>
      <c r="H21" s="75" t="n">
        <v>31</v>
      </c>
      <c r="I21" s="75" t="n">
        <v>27</v>
      </c>
      <c r="J21" s="75" t="n">
        <v>120</v>
      </c>
      <c r="K21" s="75" t="n">
        <v>0</v>
      </c>
      <c r="L21" s="42">
        <f>IF(D21&gt;0,MIN(1,(C21+E21)/D21),1)</f>
        <v>1</v>
      </c>
      <c r="M21" s="38">
        <f>IF(D21&gt;0,K21/D21,0)</f>
        <v>0</v>
      </c>
      <c r="N21" s="39">
        <f>IF(H21&gt;0,F21/H21,0)</f>
        <v>7.61290322580645</v>
      </c>
      <c r="O21" s="75">
        <f>IF(F21&lt;J21,1,0)</f>
        <v>0</v>
      </c>
      <c r="P21" s="75">
        <f>IF(C21+E21&lt;D21,1,0)</f>
        <v>0</v>
      </c>
    </row>
    <row r="22">
      <c r="A22" s="85" t="n">
        <v>46270</v>
      </c>
      <c r="B22" s="86" t="inlineStr">
        <is>
          <t>Tomato</t>
        </is>
      </c>
      <c r="C22" s="65" t="n">
        <v>410</v>
      </c>
      <c r="D22" s="65" t="n">
        <v>49</v>
      </c>
      <c r="E22" s="65" t="n">
        <v>0</v>
      </c>
      <c r="F22" s="65">
        <f>C22+E22-D22-K22</f>
        <v>361</v>
      </c>
      <c r="G22" s="65" t="n">
        <v>3</v>
      </c>
      <c r="H22" s="65" t="n">
        <v>62</v>
      </c>
      <c r="I22" s="65" t="n">
        <v>54</v>
      </c>
      <c r="J22" s="65" t="n">
        <v>240</v>
      </c>
      <c r="K22" s="65" t="n">
        <v>0</v>
      </c>
      <c r="L22" s="87">
        <f>IF(D22&gt;0,MIN(1,(C22+E22)/D22),1)</f>
        <v>1</v>
      </c>
      <c r="M22" s="88">
        <f>IF(D22&gt;0,K22/D22,0)</f>
        <v>0</v>
      </c>
      <c r="N22" s="89">
        <f>IF(H22&gt;0,F22/H22,0)</f>
        <v>5.82258064516129</v>
      </c>
      <c r="O22" s="65">
        <f>IF(F22&lt;J22,1,0)</f>
        <v>0</v>
      </c>
      <c r="P22" s="65">
        <f>IF(C22+E22&lt;D22,1,0)</f>
        <v>0</v>
      </c>
    </row>
    <row r="23">
      <c r="A23" s="90" t="n">
        <v>46270</v>
      </c>
      <c r="B23" s="91" t="inlineStr">
        <is>
          <t>Onion</t>
        </is>
      </c>
      <c r="C23" s="75" t="n">
        <v>721</v>
      </c>
      <c r="D23" s="75" t="n">
        <v>81</v>
      </c>
      <c r="E23" s="75" t="n">
        <v>0</v>
      </c>
      <c r="F23" s="75">
        <f>C23+E23-D23-K23</f>
        <v>640</v>
      </c>
      <c r="G23" s="75" t="n">
        <v>4</v>
      </c>
      <c r="H23" s="75" t="n">
        <v>70.2</v>
      </c>
      <c r="I23" s="75" t="n">
        <v>70</v>
      </c>
      <c r="J23" s="75" t="n">
        <v>351</v>
      </c>
      <c r="K23" s="75" t="n">
        <v>0</v>
      </c>
      <c r="L23" s="42">
        <f>IF(D23&gt;0,MIN(1,(C23+E23)/D23),1)</f>
        <v>1</v>
      </c>
      <c r="M23" s="38">
        <f>IF(D23&gt;0,K23/D23,0)</f>
        <v>0</v>
      </c>
      <c r="N23" s="39">
        <f>IF(H23&gt;0,F23/H23,0)</f>
        <v>9.11680911680912</v>
      </c>
      <c r="O23" s="75">
        <f>IF(F23&lt;J23,1,0)</f>
        <v>0</v>
      </c>
      <c r="P23" s="75">
        <f>IF(C23+E23&lt;D23,1,0)</f>
        <v>0</v>
      </c>
    </row>
    <row r="24">
      <c r="A24" s="85" t="n">
        <v>46270</v>
      </c>
      <c r="B24" s="86" t="inlineStr">
        <is>
          <t>Potato</t>
        </is>
      </c>
      <c r="C24" s="65" t="n">
        <v>800</v>
      </c>
      <c r="D24" s="65" t="n">
        <v>100</v>
      </c>
      <c r="E24" s="65" t="n">
        <v>0</v>
      </c>
      <c r="F24" s="65">
        <f>C24+E24-D24-K24</f>
        <v>700</v>
      </c>
      <c r="G24" s="65" t="n">
        <v>4</v>
      </c>
      <c r="H24" s="65" t="n">
        <v>78.2</v>
      </c>
      <c r="I24" s="65" t="n">
        <v>78</v>
      </c>
      <c r="J24" s="65" t="n">
        <v>391</v>
      </c>
      <c r="K24" s="65" t="n">
        <v>0</v>
      </c>
      <c r="L24" s="87">
        <f>IF(D24&gt;0,MIN(1,(C24+E24)/D24),1)</f>
        <v>1</v>
      </c>
      <c r="M24" s="88">
        <f>IF(D24&gt;0,K24/D24,0)</f>
        <v>0</v>
      </c>
      <c r="N24" s="89">
        <f>IF(H24&gt;0,F24/H24,0)</f>
        <v>8.95140664961637</v>
      </c>
      <c r="O24" s="65">
        <f>IF(F24&lt;J24,1,0)</f>
        <v>0</v>
      </c>
      <c r="P24" s="65">
        <f>IF(C24+E24&lt;D24,1,0)</f>
        <v>0</v>
      </c>
    </row>
    <row r="25">
      <c r="A25" s="90" t="n">
        <v>46270</v>
      </c>
      <c r="B25" s="91" t="inlineStr">
        <is>
          <t>Cucumber</t>
        </is>
      </c>
      <c r="C25" s="75" t="n">
        <v>79</v>
      </c>
      <c r="D25" s="75" t="n">
        <v>46</v>
      </c>
      <c r="E25" s="75" t="n">
        <v>154</v>
      </c>
      <c r="F25" s="75">
        <f>C25+E25-D25-K25</f>
        <v>187</v>
      </c>
      <c r="G25" s="75" t="n">
        <v>2</v>
      </c>
      <c r="H25" s="75" t="n">
        <v>38.5</v>
      </c>
      <c r="I25" s="75" t="n">
        <v>27</v>
      </c>
      <c r="J25" s="75" t="n">
        <v>104</v>
      </c>
      <c r="K25" s="75" t="n">
        <v>0</v>
      </c>
      <c r="L25" s="42">
        <f>IF(D25&gt;0,MIN(1,(C25+E25)/D25),1)</f>
        <v>1</v>
      </c>
      <c r="M25" s="38">
        <f>IF(D25&gt;0,K25/D25,0)</f>
        <v>0</v>
      </c>
      <c r="N25" s="39">
        <f>IF(H25&gt;0,F25/H25,0)</f>
        <v>4.85714285714286</v>
      </c>
      <c r="O25" s="75">
        <f>IF(F25&lt;J25,1,0)</f>
        <v>0</v>
      </c>
      <c r="P25" s="75">
        <f>IF(C25+E25&lt;D25,1,0)</f>
        <v>0</v>
      </c>
    </row>
    <row r="26">
      <c r="A26" s="85" t="n">
        <v>46270</v>
      </c>
      <c r="B26" s="86" t="inlineStr">
        <is>
          <t>Capsicum</t>
        </is>
      </c>
      <c r="C26" s="65" t="n">
        <v>236</v>
      </c>
      <c r="D26" s="65" t="n">
        <v>25</v>
      </c>
      <c r="E26" s="65" t="n">
        <v>0</v>
      </c>
      <c r="F26" s="65">
        <f>C26+E26-D26-K26</f>
        <v>211</v>
      </c>
      <c r="G26" s="65" t="n">
        <v>3</v>
      </c>
      <c r="H26" s="65" t="n">
        <v>31.2</v>
      </c>
      <c r="I26" s="65" t="n">
        <v>27</v>
      </c>
      <c r="J26" s="65" t="n">
        <v>121</v>
      </c>
      <c r="K26" s="65" t="n">
        <v>0</v>
      </c>
      <c r="L26" s="87">
        <f>IF(D26&gt;0,MIN(1,(C26+E26)/D26),1)</f>
        <v>1</v>
      </c>
      <c r="M26" s="88">
        <f>IF(D26&gt;0,K26/D26,0)</f>
        <v>0</v>
      </c>
      <c r="N26" s="89">
        <f>IF(H26&gt;0,F26/H26,0)</f>
        <v>6.76282051282051</v>
      </c>
      <c r="O26" s="65">
        <f>IF(F26&lt;J26,1,0)</f>
        <v>0</v>
      </c>
      <c r="P26" s="65">
        <f>IF(C26+E26&lt;D26,1,0)</f>
        <v>0</v>
      </c>
    </row>
    <row r="27">
      <c r="A27" s="90" t="n">
        <v>46271</v>
      </c>
      <c r="B27" s="91" t="inlineStr">
        <is>
          <t>Tomato</t>
        </is>
      </c>
      <c r="C27" s="75" t="n">
        <v>361</v>
      </c>
      <c r="D27" s="75" t="n">
        <v>52</v>
      </c>
      <c r="E27" s="75" t="n">
        <v>0</v>
      </c>
      <c r="F27" s="75">
        <f>C27+E27-D27-K27</f>
        <v>247</v>
      </c>
      <c r="G27" s="75" t="n">
        <v>3</v>
      </c>
      <c r="H27" s="75" t="n">
        <v>59.4</v>
      </c>
      <c r="I27" s="75" t="n">
        <v>51</v>
      </c>
      <c r="J27" s="75" t="n">
        <v>229</v>
      </c>
      <c r="K27" s="75" t="n">
        <v>62</v>
      </c>
      <c r="L27" s="42">
        <f>IF(D27&gt;0,MIN(1,(C27+E27)/D27),1)</f>
        <v>1</v>
      </c>
      <c r="M27" s="38">
        <f>IF(D27&gt;0,K27/D27,0)</f>
        <v>1.19230769230769</v>
      </c>
      <c r="N27" s="39">
        <f>IF(H27&gt;0,F27/H27,0)</f>
        <v>4.15824915824916</v>
      </c>
      <c r="O27" s="75">
        <f>IF(F27&lt;J27,1,0)</f>
        <v>0</v>
      </c>
      <c r="P27" s="75">
        <f>IF(C27+E27&lt;D27,1,0)</f>
        <v>0</v>
      </c>
    </row>
    <row r="28">
      <c r="A28" s="85" t="n">
        <v>46271</v>
      </c>
      <c r="B28" s="86" t="inlineStr">
        <is>
          <t>Onion</t>
        </is>
      </c>
      <c r="C28" s="65" t="n">
        <v>640</v>
      </c>
      <c r="D28" s="65" t="n">
        <v>52</v>
      </c>
      <c r="E28" s="65" t="n">
        <v>0</v>
      </c>
      <c r="F28" s="65">
        <f>C28+E28-D28-K28</f>
        <v>500</v>
      </c>
      <c r="G28" s="65" t="n">
        <v>4</v>
      </c>
      <c r="H28" s="65" t="n">
        <v>72.40000000000001</v>
      </c>
      <c r="I28" s="65" t="n">
        <v>72</v>
      </c>
      <c r="J28" s="65" t="n">
        <v>362</v>
      </c>
      <c r="K28" s="65" t="n">
        <v>88</v>
      </c>
      <c r="L28" s="87">
        <f>IF(D28&gt;0,MIN(1,(C28+E28)/D28),1)</f>
        <v>1</v>
      </c>
      <c r="M28" s="88">
        <f>IF(D28&gt;0,K28/D28,0)</f>
        <v>1.69230769230769</v>
      </c>
      <c r="N28" s="89">
        <f>IF(H28&gt;0,F28/H28,0)</f>
        <v>6.9060773480663</v>
      </c>
      <c r="O28" s="65">
        <f>IF(F28&lt;J28,1,0)</f>
        <v>0</v>
      </c>
      <c r="P28" s="65">
        <f>IF(C28+E28&lt;D28,1,0)</f>
        <v>0</v>
      </c>
    </row>
    <row r="29">
      <c r="A29" s="90" t="n">
        <v>46271</v>
      </c>
      <c r="B29" s="91" t="inlineStr">
        <is>
          <t>Potato</t>
        </is>
      </c>
      <c r="C29" s="75" t="n">
        <v>700</v>
      </c>
      <c r="D29" s="75" t="n">
        <v>104</v>
      </c>
      <c r="E29" s="75" t="n">
        <v>0</v>
      </c>
      <c r="F29" s="75">
        <f>C29+E29-D29-K29</f>
        <v>524</v>
      </c>
      <c r="G29" s="75" t="n">
        <v>4</v>
      </c>
      <c r="H29" s="75" t="n">
        <v>82.59999999999999</v>
      </c>
      <c r="I29" s="75" t="n">
        <v>83</v>
      </c>
      <c r="J29" s="75" t="n">
        <v>413</v>
      </c>
      <c r="K29" s="75" t="n">
        <v>72</v>
      </c>
      <c r="L29" s="42">
        <f>IF(D29&gt;0,MIN(1,(C29+E29)/D29),1)</f>
        <v>1</v>
      </c>
      <c r="M29" s="38">
        <f>IF(D29&gt;0,K29/D29,0)</f>
        <v>0.692307692307692</v>
      </c>
      <c r="N29" s="39">
        <f>IF(H29&gt;0,F29/H29,0)</f>
        <v>6.34382566585957</v>
      </c>
      <c r="O29" s="75">
        <f>IF(F29&lt;J29,1,0)</f>
        <v>0</v>
      </c>
      <c r="P29" s="75">
        <f>IF(C29+E29&lt;D29,1,0)</f>
        <v>0</v>
      </c>
    </row>
    <row r="30">
      <c r="A30" s="85" t="n">
        <v>46271</v>
      </c>
      <c r="B30" s="86" t="inlineStr">
        <is>
          <t>Cucumber</t>
        </is>
      </c>
      <c r="C30" s="65" t="n">
        <v>187</v>
      </c>
      <c r="D30" s="65" t="n">
        <v>32</v>
      </c>
      <c r="E30" s="65" t="n">
        <v>0</v>
      </c>
      <c r="F30" s="65">
        <f>C30+E30-D30-K30</f>
        <v>116</v>
      </c>
      <c r="G30" s="65" t="n">
        <v>2</v>
      </c>
      <c r="H30" s="65" t="n">
        <v>40</v>
      </c>
      <c r="I30" s="65" t="n">
        <v>28</v>
      </c>
      <c r="J30" s="65" t="n">
        <v>108</v>
      </c>
      <c r="K30" s="65" t="n">
        <v>39</v>
      </c>
      <c r="L30" s="87">
        <f>IF(D30&gt;0,MIN(1,(C30+E30)/D30),1)</f>
        <v>1</v>
      </c>
      <c r="M30" s="88">
        <f>IF(D30&gt;0,K30/D30,0)</f>
        <v>1.21875</v>
      </c>
      <c r="N30" s="89">
        <f>IF(H30&gt;0,F30/H30,0)</f>
        <v>2.9</v>
      </c>
      <c r="O30" s="65">
        <f>IF(F30&lt;J30,1,0)</f>
        <v>0</v>
      </c>
      <c r="P30" s="65">
        <f>IF(C30+E30&lt;D30,1,0)</f>
        <v>0</v>
      </c>
    </row>
    <row r="31">
      <c r="A31" s="90" t="n">
        <v>46271</v>
      </c>
      <c r="B31" s="91" t="inlineStr">
        <is>
          <t>Capsicum</t>
        </is>
      </c>
      <c r="C31" s="75" t="n">
        <v>211</v>
      </c>
      <c r="D31" s="75" t="n">
        <v>35</v>
      </c>
      <c r="E31" s="75" t="n">
        <v>0</v>
      </c>
      <c r="F31" s="75">
        <f>C31+E31-D31-K31</f>
        <v>141</v>
      </c>
      <c r="G31" s="75" t="n">
        <v>3</v>
      </c>
      <c r="H31" s="75" t="n">
        <v>30</v>
      </c>
      <c r="I31" s="75" t="n">
        <v>26</v>
      </c>
      <c r="J31" s="75" t="n">
        <v>116</v>
      </c>
      <c r="K31" s="75" t="n">
        <v>35</v>
      </c>
      <c r="L31" s="42">
        <f>IF(D31&gt;0,MIN(1,(C31+E31)/D31),1)</f>
        <v>1</v>
      </c>
      <c r="M31" s="38">
        <f>IF(D31&gt;0,K31/D31,0)</f>
        <v>1</v>
      </c>
      <c r="N31" s="39">
        <f>IF(H31&gt;0,F31/H31,0)</f>
        <v>4.7</v>
      </c>
      <c r="O31" s="75">
        <f>IF(F31&lt;J31,1,0)</f>
        <v>0</v>
      </c>
      <c r="P31" s="75">
        <f>IF(C31+E31&lt;D31,1,0)</f>
        <v>0</v>
      </c>
    </row>
    <row r="32">
      <c r="A32" s="85" t="n">
        <v>46272</v>
      </c>
      <c r="B32" s="86" t="inlineStr">
        <is>
          <t>Tomato</t>
        </is>
      </c>
      <c r="C32" s="65" t="n">
        <v>247</v>
      </c>
      <c r="D32" s="65" t="n">
        <v>60</v>
      </c>
      <c r="E32" s="65" t="n">
        <v>0</v>
      </c>
      <c r="F32" s="65">
        <f>C32+E32-D32-K32</f>
        <v>187</v>
      </c>
      <c r="G32" s="65" t="n">
        <v>3</v>
      </c>
      <c r="H32" s="65" t="n">
        <v>58.2</v>
      </c>
      <c r="I32" s="65" t="n">
        <v>50</v>
      </c>
      <c r="J32" s="65" t="n">
        <v>224</v>
      </c>
      <c r="K32" s="65" t="n">
        <v>0</v>
      </c>
      <c r="L32" s="87">
        <f>IF(D32&gt;0,MIN(1,(C32+E32)/D32),1)</f>
        <v>1</v>
      </c>
      <c r="M32" s="88">
        <f>IF(D32&gt;0,K32/D32,0)</f>
        <v>0</v>
      </c>
      <c r="N32" s="89">
        <f>IF(H32&gt;0,F32/H32,0)</f>
        <v>3.21305841924399</v>
      </c>
      <c r="O32" s="65">
        <f>IF(F32&lt;J32,1,0)</f>
        <v>1</v>
      </c>
      <c r="P32" s="65">
        <f>IF(C32+E32&lt;D32,1,0)</f>
        <v>0</v>
      </c>
    </row>
    <row r="33">
      <c r="A33" s="90" t="n">
        <v>46272</v>
      </c>
      <c r="B33" s="91" t="inlineStr">
        <is>
          <t>Onion</t>
        </is>
      </c>
      <c r="C33" s="75" t="n">
        <v>500</v>
      </c>
      <c r="D33" s="75" t="n">
        <v>77</v>
      </c>
      <c r="E33" s="75" t="n">
        <v>0</v>
      </c>
      <c r="F33" s="75">
        <f>C33+E33-D33-K33</f>
        <v>423</v>
      </c>
      <c r="G33" s="75" t="n">
        <v>4</v>
      </c>
      <c r="H33" s="75" t="n">
        <v>69</v>
      </c>
      <c r="I33" s="75" t="n">
        <v>69</v>
      </c>
      <c r="J33" s="75" t="n">
        <v>345</v>
      </c>
      <c r="K33" s="75" t="n">
        <v>0</v>
      </c>
      <c r="L33" s="42">
        <f>IF(D33&gt;0,MIN(1,(C33+E33)/D33),1)</f>
        <v>1</v>
      </c>
      <c r="M33" s="38">
        <f>IF(D33&gt;0,K33/D33,0)</f>
        <v>0</v>
      </c>
      <c r="N33" s="39">
        <f>IF(H33&gt;0,F33/H33,0)</f>
        <v>6.1304347826087</v>
      </c>
      <c r="O33" s="75">
        <f>IF(F33&lt;J33,1,0)</f>
        <v>0</v>
      </c>
      <c r="P33" s="75">
        <f>IF(C33+E33&lt;D33,1,0)</f>
        <v>0</v>
      </c>
    </row>
    <row r="34">
      <c r="A34" s="85" t="n">
        <v>46272</v>
      </c>
      <c r="B34" s="86" t="inlineStr">
        <is>
          <t>Potato</t>
        </is>
      </c>
      <c r="C34" s="65" t="n">
        <v>524</v>
      </c>
      <c r="D34" s="65" t="n">
        <v>83</v>
      </c>
      <c r="E34" s="65" t="n">
        <v>0</v>
      </c>
      <c r="F34" s="65">
        <f>C34+E34-D34-K34</f>
        <v>441</v>
      </c>
      <c r="G34" s="65" t="n">
        <v>4</v>
      </c>
      <c r="H34" s="65" t="n">
        <v>86.2</v>
      </c>
      <c r="I34" s="65" t="n">
        <v>86</v>
      </c>
      <c r="J34" s="65" t="n">
        <v>431</v>
      </c>
      <c r="K34" s="65" t="n">
        <v>0</v>
      </c>
      <c r="L34" s="87">
        <f>IF(D34&gt;0,MIN(1,(C34+E34)/D34),1)</f>
        <v>1</v>
      </c>
      <c r="M34" s="88">
        <f>IF(D34&gt;0,K34/D34,0)</f>
        <v>0</v>
      </c>
      <c r="N34" s="89">
        <f>IF(H34&gt;0,F34/H34,0)</f>
        <v>5.11600928074246</v>
      </c>
      <c r="O34" s="65">
        <f>IF(F34&lt;J34,1,0)</f>
        <v>0</v>
      </c>
      <c r="P34" s="65">
        <f>IF(C34+E34&lt;D34,1,0)</f>
        <v>0</v>
      </c>
    </row>
    <row r="35">
      <c r="A35" s="90" t="n">
        <v>46272</v>
      </c>
      <c r="B35" s="91" t="inlineStr">
        <is>
          <t>Cucumber</t>
        </is>
      </c>
      <c r="C35" s="75" t="n">
        <v>116</v>
      </c>
      <c r="D35" s="75" t="n">
        <v>46</v>
      </c>
      <c r="E35" s="75" t="n">
        <v>0</v>
      </c>
      <c r="F35" s="75">
        <f>C35+E35-D35-K35</f>
        <v>70</v>
      </c>
      <c r="G35" s="75" t="n">
        <v>2</v>
      </c>
      <c r="H35" s="75" t="n">
        <v>38.7</v>
      </c>
      <c r="I35" s="75" t="n">
        <v>27</v>
      </c>
      <c r="J35" s="75" t="n">
        <v>104</v>
      </c>
      <c r="K35" s="75" t="n">
        <v>0</v>
      </c>
      <c r="L35" s="42">
        <f>IF(D35&gt;0,MIN(1,(C35+E35)/D35),1)</f>
        <v>1</v>
      </c>
      <c r="M35" s="38">
        <f>IF(D35&gt;0,K35/D35,0)</f>
        <v>0</v>
      </c>
      <c r="N35" s="39">
        <f>IF(H35&gt;0,F35/H35,0)</f>
        <v>1.80878552971576</v>
      </c>
      <c r="O35" s="75">
        <f>IF(F35&lt;J35,1,0)</f>
        <v>1</v>
      </c>
      <c r="P35" s="75">
        <f>IF(C35+E35&lt;D35,1,0)</f>
        <v>0</v>
      </c>
    </row>
    <row r="36">
      <c r="A36" s="85" t="n">
        <v>46272</v>
      </c>
      <c r="B36" s="86" t="inlineStr">
        <is>
          <t>Capsicum</t>
        </is>
      </c>
      <c r="C36" s="65" t="n">
        <v>141</v>
      </c>
      <c r="D36" s="65" t="n">
        <v>32</v>
      </c>
      <c r="E36" s="65" t="n">
        <v>0</v>
      </c>
      <c r="F36" s="65">
        <f>C36+E36-D36-K36</f>
        <v>109</v>
      </c>
      <c r="G36" s="65" t="n">
        <v>3</v>
      </c>
      <c r="H36" s="65" t="n">
        <v>30.8</v>
      </c>
      <c r="I36" s="65" t="n">
        <v>27</v>
      </c>
      <c r="J36" s="65" t="n">
        <v>120</v>
      </c>
      <c r="K36" s="65" t="n">
        <v>0</v>
      </c>
      <c r="L36" s="87">
        <f>IF(D36&gt;0,MIN(1,(C36+E36)/D36),1)</f>
        <v>1</v>
      </c>
      <c r="M36" s="88">
        <f>IF(D36&gt;0,K36/D36,0)</f>
        <v>0</v>
      </c>
      <c r="N36" s="89">
        <f>IF(H36&gt;0,F36/H36,0)</f>
        <v>3.53896103896104</v>
      </c>
      <c r="O36" s="65">
        <f>IF(F36&lt;J36,1,0)</f>
        <v>1</v>
      </c>
      <c r="P36" s="65">
        <f>IF(C36+E36&lt;D36,1,0)</f>
        <v>0</v>
      </c>
    </row>
    <row r="37">
      <c r="A37" s="90" t="n">
        <v>46273</v>
      </c>
      <c r="B37" s="91" t="inlineStr">
        <is>
          <t>Tomato</t>
        </is>
      </c>
      <c r="C37" s="75" t="n">
        <v>187</v>
      </c>
      <c r="D37" s="75" t="n">
        <v>52</v>
      </c>
      <c r="E37" s="75" t="n">
        <v>292</v>
      </c>
      <c r="F37" s="75">
        <f>C37+E37-D37-K37</f>
        <v>427</v>
      </c>
      <c r="G37" s="75" t="n">
        <v>3</v>
      </c>
      <c r="H37" s="75" t="n">
        <v>58.4</v>
      </c>
      <c r="I37" s="75" t="n">
        <v>51</v>
      </c>
      <c r="J37" s="75" t="n">
        <v>226</v>
      </c>
      <c r="K37" s="75" t="n">
        <v>0</v>
      </c>
      <c r="L37" s="42">
        <f>IF(D37&gt;0,MIN(1,(C37+E37)/D37),1)</f>
        <v>1</v>
      </c>
      <c r="M37" s="38">
        <f>IF(D37&gt;0,K37/D37,0)</f>
        <v>0</v>
      </c>
      <c r="N37" s="39">
        <f>IF(H37&gt;0,F37/H37,0)</f>
        <v>7.31164383561644</v>
      </c>
      <c r="O37" s="75">
        <f>IF(F37&lt;J37,1,0)</f>
        <v>0</v>
      </c>
      <c r="P37" s="75">
        <f>IF(C37+E37&lt;D37,1,0)</f>
        <v>0</v>
      </c>
    </row>
    <row r="38">
      <c r="A38" s="85" t="n">
        <v>46273</v>
      </c>
      <c r="B38" s="86" t="inlineStr">
        <is>
          <t>Onion</t>
        </is>
      </c>
      <c r="C38" s="65" t="n">
        <v>423</v>
      </c>
      <c r="D38" s="65" t="n">
        <v>57</v>
      </c>
      <c r="E38" s="65" t="n">
        <v>0</v>
      </c>
      <c r="F38" s="65">
        <f>C38+E38-D38-K38</f>
        <v>366</v>
      </c>
      <c r="G38" s="65" t="n">
        <v>4</v>
      </c>
      <c r="H38" s="65" t="n">
        <v>70.09999999999999</v>
      </c>
      <c r="I38" s="65" t="n">
        <v>70</v>
      </c>
      <c r="J38" s="65" t="n">
        <v>351</v>
      </c>
      <c r="K38" s="65" t="n">
        <v>0</v>
      </c>
      <c r="L38" s="87">
        <f>IF(D38&gt;0,MIN(1,(C38+E38)/D38),1)</f>
        <v>1</v>
      </c>
      <c r="M38" s="88">
        <f>IF(D38&gt;0,K38/D38,0)</f>
        <v>0</v>
      </c>
      <c r="N38" s="89">
        <f>IF(H38&gt;0,F38/H38,0)</f>
        <v>5.22111269614836</v>
      </c>
      <c r="O38" s="65">
        <f>IF(F38&lt;J38,1,0)</f>
        <v>0</v>
      </c>
      <c r="P38" s="65">
        <f>IF(C38+E38&lt;D38,1,0)</f>
        <v>0</v>
      </c>
    </row>
    <row r="39">
      <c r="A39" s="90" t="n">
        <v>46273</v>
      </c>
      <c r="B39" s="91" t="inlineStr">
        <is>
          <t>Potato</t>
        </is>
      </c>
      <c r="C39" s="75" t="n">
        <v>441</v>
      </c>
      <c r="D39" s="75" t="n">
        <v>81</v>
      </c>
      <c r="E39" s="75" t="n">
        <v>0</v>
      </c>
      <c r="F39" s="75">
        <f>C39+E39-D39-K39</f>
        <v>360</v>
      </c>
      <c r="G39" s="75" t="n">
        <v>4</v>
      </c>
      <c r="H39" s="75" t="n">
        <v>85.7</v>
      </c>
      <c r="I39" s="75" t="n">
        <v>86</v>
      </c>
      <c r="J39" s="75" t="n">
        <v>429</v>
      </c>
      <c r="K39" s="75" t="n">
        <v>0</v>
      </c>
      <c r="L39" s="42">
        <f>IF(D39&gt;0,MIN(1,(C39+E39)/D39),1)</f>
        <v>1</v>
      </c>
      <c r="M39" s="38">
        <f>IF(D39&gt;0,K39/D39,0)</f>
        <v>0</v>
      </c>
      <c r="N39" s="39">
        <f>IF(H39&gt;0,F39/H39,0)</f>
        <v>4.20070011668611</v>
      </c>
      <c r="O39" s="75">
        <f>IF(F39&lt;J39,1,0)</f>
        <v>1</v>
      </c>
      <c r="P39" s="75">
        <f>IF(C39+E39&lt;D39,1,0)</f>
        <v>0</v>
      </c>
    </row>
    <row r="40">
      <c r="A40" s="85" t="n">
        <v>46273</v>
      </c>
      <c r="B40" s="86" t="inlineStr">
        <is>
          <t>Cucumber</t>
        </is>
      </c>
      <c r="C40" s="65" t="n">
        <v>70</v>
      </c>
      <c r="D40" s="65" t="n">
        <v>48</v>
      </c>
      <c r="E40" s="65" t="n">
        <v>159</v>
      </c>
      <c r="F40" s="65">
        <f>C40+E40-D40-K40</f>
        <v>181</v>
      </c>
      <c r="G40" s="65" t="n">
        <v>2</v>
      </c>
      <c r="H40" s="65" t="n">
        <v>39.7</v>
      </c>
      <c r="I40" s="65" t="n">
        <v>28</v>
      </c>
      <c r="J40" s="65" t="n">
        <v>107</v>
      </c>
      <c r="K40" s="65" t="n">
        <v>0</v>
      </c>
      <c r="L40" s="87">
        <f>IF(D40&gt;0,MIN(1,(C40+E40)/D40),1)</f>
        <v>1</v>
      </c>
      <c r="M40" s="88">
        <f>IF(D40&gt;0,K40/D40,0)</f>
        <v>0</v>
      </c>
      <c r="N40" s="89">
        <f>IF(H40&gt;0,F40/H40,0)</f>
        <v>4.55919395465995</v>
      </c>
      <c r="O40" s="65">
        <f>IF(F40&lt;J40,1,0)</f>
        <v>0</v>
      </c>
      <c r="P40" s="65">
        <f>IF(C40+E40&lt;D40,1,0)</f>
        <v>0</v>
      </c>
    </row>
    <row r="41">
      <c r="A41" s="90" t="n">
        <v>46273</v>
      </c>
      <c r="B41" s="91" t="inlineStr">
        <is>
          <t>Capsicum</t>
        </is>
      </c>
      <c r="C41" s="75" t="n">
        <v>109</v>
      </c>
      <c r="D41" s="75" t="n">
        <v>24</v>
      </c>
      <c r="E41" s="75" t="n">
        <v>155</v>
      </c>
      <c r="F41" s="75">
        <f>C41+E41-D41-K41</f>
        <v>240</v>
      </c>
      <c r="G41" s="75" t="n">
        <v>3</v>
      </c>
      <c r="H41" s="75" t="n">
        <v>31</v>
      </c>
      <c r="I41" s="75" t="n">
        <v>27</v>
      </c>
      <c r="J41" s="75" t="n">
        <v>120</v>
      </c>
      <c r="K41" s="75" t="n">
        <v>0</v>
      </c>
      <c r="L41" s="42">
        <f>IF(D41&gt;0,MIN(1,(C41+E41)/D41),1)</f>
        <v>1</v>
      </c>
      <c r="M41" s="38">
        <f>IF(D41&gt;0,K41/D41,0)</f>
        <v>0</v>
      </c>
      <c r="N41" s="39">
        <f>IF(H41&gt;0,F41/H41,0)</f>
        <v>7.74193548387097</v>
      </c>
      <c r="O41" s="75">
        <f>IF(F41&lt;J41,1,0)</f>
        <v>0</v>
      </c>
      <c r="P41" s="75">
        <f>IF(C41+E41&lt;D41,1,0)</f>
        <v>0</v>
      </c>
    </row>
    <row r="42">
      <c r="A42" s="85" t="n">
        <v>46274</v>
      </c>
      <c r="B42" s="86" t="inlineStr">
        <is>
          <t>Tomato</t>
        </is>
      </c>
      <c r="C42" s="65" t="n">
        <v>427</v>
      </c>
      <c r="D42" s="65" t="n">
        <v>66</v>
      </c>
      <c r="E42" s="65" t="n">
        <v>0</v>
      </c>
      <c r="F42" s="65">
        <f>C42+E42-D42-K42</f>
        <v>361</v>
      </c>
      <c r="G42" s="65" t="n">
        <v>3</v>
      </c>
      <c r="H42" s="65" t="n">
        <v>59</v>
      </c>
      <c r="I42" s="65" t="n">
        <v>51</v>
      </c>
      <c r="J42" s="65" t="n">
        <v>228</v>
      </c>
      <c r="K42" s="65" t="n">
        <v>0</v>
      </c>
      <c r="L42" s="87">
        <f>IF(D42&gt;0,MIN(1,(C42+E42)/D42),1)</f>
        <v>1</v>
      </c>
      <c r="M42" s="88">
        <f>IF(D42&gt;0,K42/D42,0)</f>
        <v>0</v>
      </c>
      <c r="N42" s="89">
        <f>IF(H42&gt;0,F42/H42,0)</f>
        <v>6.11864406779661</v>
      </c>
      <c r="O42" s="65">
        <f>IF(F42&lt;J42,1,0)</f>
        <v>0</v>
      </c>
      <c r="P42" s="65">
        <f>IF(C42+E42&lt;D42,1,0)</f>
        <v>0</v>
      </c>
    </row>
    <row r="43">
      <c r="A43" s="90" t="n">
        <v>46274</v>
      </c>
      <c r="B43" s="91" t="inlineStr">
        <is>
          <t>Onion</t>
        </is>
      </c>
      <c r="C43" s="75" t="n">
        <v>366</v>
      </c>
      <c r="D43" s="75" t="n">
        <v>79</v>
      </c>
      <c r="E43" s="75" t="n">
        <v>0</v>
      </c>
      <c r="F43" s="75">
        <f>C43+E43-D43-K43</f>
        <v>287</v>
      </c>
      <c r="G43" s="75" t="n">
        <v>4</v>
      </c>
      <c r="H43" s="75" t="n">
        <v>66.90000000000001</v>
      </c>
      <c r="I43" s="75" t="n">
        <v>67</v>
      </c>
      <c r="J43" s="75" t="n">
        <v>334</v>
      </c>
      <c r="K43" s="75" t="n">
        <v>0</v>
      </c>
      <c r="L43" s="42">
        <f>IF(D43&gt;0,MIN(1,(C43+E43)/D43),1)</f>
        <v>1</v>
      </c>
      <c r="M43" s="38">
        <f>IF(D43&gt;0,K43/D43,0)</f>
        <v>0</v>
      </c>
      <c r="N43" s="39">
        <f>IF(H43&gt;0,F43/H43,0)</f>
        <v>4.28998505231689</v>
      </c>
      <c r="O43" s="75">
        <f>IF(F43&lt;J43,1,0)</f>
        <v>1</v>
      </c>
      <c r="P43" s="75">
        <f>IF(C43+E43&lt;D43,1,0)</f>
        <v>0</v>
      </c>
    </row>
    <row r="44">
      <c r="A44" s="85" t="n">
        <v>46274</v>
      </c>
      <c r="B44" s="86" t="inlineStr">
        <is>
          <t>Potato</t>
        </is>
      </c>
      <c r="C44" s="65" t="n">
        <v>360</v>
      </c>
      <c r="D44" s="65" t="n">
        <v>65</v>
      </c>
      <c r="E44" s="65" t="n">
        <v>520</v>
      </c>
      <c r="F44" s="65">
        <f>C44+E44-D44-K44</f>
        <v>815</v>
      </c>
      <c r="G44" s="65" t="n">
        <v>4</v>
      </c>
      <c r="H44" s="65" t="n">
        <v>86.7</v>
      </c>
      <c r="I44" s="65" t="n">
        <v>87</v>
      </c>
      <c r="J44" s="65" t="n">
        <v>434</v>
      </c>
      <c r="K44" s="65" t="n">
        <v>0</v>
      </c>
      <c r="L44" s="87">
        <f>IF(D44&gt;0,MIN(1,(C44+E44)/D44),1)</f>
        <v>1</v>
      </c>
      <c r="M44" s="88">
        <f>IF(D44&gt;0,K44/D44,0)</f>
        <v>0</v>
      </c>
      <c r="N44" s="89">
        <f>IF(H44&gt;0,F44/H44,0)</f>
        <v>9.4002306805075</v>
      </c>
      <c r="O44" s="65">
        <f>IF(F44&lt;J44,1,0)</f>
        <v>0</v>
      </c>
      <c r="P44" s="65">
        <f>IF(C44+E44&lt;D44,1,0)</f>
        <v>0</v>
      </c>
    </row>
    <row r="45">
      <c r="A45" s="90" t="n">
        <v>46274</v>
      </c>
      <c r="B45" s="91" t="inlineStr">
        <is>
          <t>Cucumber</t>
        </is>
      </c>
      <c r="C45" s="75" t="n">
        <v>181</v>
      </c>
      <c r="D45" s="75" t="n">
        <v>32</v>
      </c>
      <c r="E45" s="75" t="n">
        <v>0</v>
      </c>
      <c r="F45" s="75">
        <f>C45+E45-D45-K45</f>
        <v>149</v>
      </c>
      <c r="G45" s="75" t="n">
        <v>2</v>
      </c>
      <c r="H45" s="75" t="n">
        <v>42</v>
      </c>
      <c r="I45" s="75" t="n">
        <v>30</v>
      </c>
      <c r="J45" s="75" t="n">
        <v>114</v>
      </c>
      <c r="K45" s="75" t="n">
        <v>0</v>
      </c>
      <c r="L45" s="42">
        <f>IF(D45&gt;0,MIN(1,(C45+E45)/D45),1)</f>
        <v>1</v>
      </c>
      <c r="M45" s="38">
        <f>IF(D45&gt;0,K45/D45,0)</f>
        <v>0</v>
      </c>
      <c r="N45" s="39">
        <f>IF(H45&gt;0,F45/H45,0)</f>
        <v>3.54761904761905</v>
      </c>
      <c r="O45" s="75">
        <f>IF(F45&lt;J45,1,0)</f>
        <v>0</v>
      </c>
      <c r="P45" s="75">
        <f>IF(C45+E45&lt;D45,1,0)</f>
        <v>0</v>
      </c>
    </row>
    <row r="46">
      <c r="A46" s="85" t="n">
        <v>46274</v>
      </c>
      <c r="B46" s="86" t="inlineStr">
        <is>
          <t>Capsicum</t>
        </is>
      </c>
      <c r="C46" s="65" t="n">
        <v>240</v>
      </c>
      <c r="D46" s="65" t="n">
        <v>34</v>
      </c>
      <c r="E46" s="65" t="n">
        <v>0</v>
      </c>
      <c r="F46" s="65">
        <f>C46+E46-D46-K46</f>
        <v>206</v>
      </c>
      <c r="G46" s="65" t="n">
        <v>3</v>
      </c>
      <c r="H46" s="65" t="n">
        <v>30.1</v>
      </c>
      <c r="I46" s="65" t="n">
        <v>26</v>
      </c>
      <c r="J46" s="65" t="n">
        <v>116</v>
      </c>
      <c r="K46" s="65" t="n">
        <v>0</v>
      </c>
      <c r="L46" s="87">
        <f>IF(D46&gt;0,MIN(1,(C46+E46)/D46),1)</f>
        <v>1</v>
      </c>
      <c r="M46" s="88">
        <f>IF(D46&gt;0,K46/D46,0)</f>
        <v>0</v>
      </c>
      <c r="N46" s="89">
        <f>IF(H46&gt;0,F46/H46,0)</f>
        <v>6.84385382059801</v>
      </c>
      <c r="O46" s="65">
        <f>IF(F46&lt;J46,1,0)</f>
        <v>0</v>
      </c>
      <c r="P46" s="65">
        <f>IF(C46+E46&lt;D46,1,0)</f>
        <v>0</v>
      </c>
    </row>
    <row r="47">
      <c r="A47" s="90" t="n">
        <v>46275</v>
      </c>
      <c r="B47" s="91" t="inlineStr">
        <is>
          <t>Tomato</t>
        </is>
      </c>
      <c r="C47" s="75" t="n">
        <v>361</v>
      </c>
      <c r="D47" s="75" t="n">
        <v>57</v>
      </c>
      <c r="E47" s="75" t="n">
        <v>0</v>
      </c>
      <c r="F47" s="75">
        <f>C47+E47-D47-K47</f>
        <v>304</v>
      </c>
      <c r="G47" s="75" t="n">
        <v>3</v>
      </c>
      <c r="H47" s="75" t="n">
        <v>60</v>
      </c>
      <c r="I47" s="75" t="n">
        <v>52</v>
      </c>
      <c r="J47" s="75" t="n">
        <v>232</v>
      </c>
      <c r="K47" s="75" t="n">
        <v>0</v>
      </c>
      <c r="L47" s="42">
        <f>IF(D47&gt;0,MIN(1,(C47+E47)/D47),1)</f>
        <v>1</v>
      </c>
      <c r="M47" s="38">
        <f>IF(D47&gt;0,K47/D47,0)</f>
        <v>0</v>
      </c>
      <c r="N47" s="39">
        <f>IF(H47&gt;0,F47/H47,0)</f>
        <v>5.06666666666667</v>
      </c>
      <c r="O47" s="75">
        <f>IF(F47&lt;J47,1,0)</f>
        <v>0</v>
      </c>
      <c r="P47" s="75">
        <f>IF(C47+E47&lt;D47,1,0)</f>
        <v>0</v>
      </c>
    </row>
    <row r="48">
      <c r="A48" s="85" t="n">
        <v>46275</v>
      </c>
      <c r="B48" s="86" t="inlineStr">
        <is>
          <t>Onion</t>
        </is>
      </c>
      <c r="C48" s="65" t="n">
        <v>287</v>
      </c>
      <c r="D48" s="65" t="n">
        <v>69</v>
      </c>
      <c r="E48" s="65" t="n">
        <v>406</v>
      </c>
      <c r="F48" s="65">
        <f>C48+E48-D48-K48</f>
        <v>624</v>
      </c>
      <c r="G48" s="65" t="n">
        <v>4</v>
      </c>
      <c r="H48" s="65" t="n">
        <v>67.7</v>
      </c>
      <c r="I48" s="65" t="n">
        <v>68</v>
      </c>
      <c r="J48" s="65" t="n">
        <v>339</v>
      </c>
      <c r="K48" s="65" t="n">
        <v>0</v>
      </c>
      <c r="L48" s="87">
        <f>IF(D48&gt;0,MIN(1,(C48+E48)/D48),1)</f>
        <v>1</v>
      </c>
      <c r="M48" s="88">
        <f>IF(D48&gt;0,K48/D48,0)</f>
        <v>0</v>
      </c>
      <c r="N48" s="89">
        <f>IF(H48&gt;0,F48/H48,0)</f>
        <v>9.21713441654357</v>
      </c>
      <c r="O48" s="65">
        <f>IF(F48&lt;J48,1,0)</f>
        <v>0</v>
      </c>
      <c r="P48" s="65">
        <f>IF(C48+E48&lt;D48,1,0)</f>
        <v>0</v>
      </c>
    </row>
    <row r="49">
      <c r="A49" s="90" t="n">
        <v>46275</v>
      </c>
      <c r="B49" s="91" t="inlineStr">
        <is>
          <t>Potato</t>
        </is>
      </c>
      <c r="C49" s="75" t="n">
        <v>815</v>
      </c>
      <c r="D49" s="75" t="n">
        <v>81</v>
      </c>
      <c r="E49" s="75" t="n">
        <v>0</v>
      </c>
      <c r="F49" s="75">
        <f>C49+E49-D49-K49</f>
        <v>734</v>
      </c>
      <c r="G49" s="75" t="n">
        <v>4</v>
      </c>
      <c r="H49" s="75" t="n">
        <v>84.59999999999999</v>
      </c>
      <c r="I49" s="75" t="n">
        <v>85</v>
      </c>
      <c r="J49" s="75" t="n">
        <v>423</v>
      </c>
      <c r="K49" s="75" t="n">
        <v>0</v>
      </c>
      <c r="L49" s="42">
        <f>IF(D49&gt;0,MIN(1,(C49+E49)/D49),1)</f>
        <v>1</v>
      </c>
      <c r="M49" s="38">
        <f>IF(D49&gt;0,K49/D49,0)</f>
        <v>0</v>
      </c>
      <c r="N49" s="39">
        <f>IF(H49&gt;0,F49/H49,0)</f>
        <v>8.67612293144208</v>
      </c>
      <c r="O49" s="75">
        <f>IF(F49&lt;J49,1,0)</f>
        <v>0</v>
      </c>
      <c r="P49" s="75">
        <f>IF(C49+E49&lt;D49,1,0)</f>
        <v>0</v>
      </c>
    </row>
    <row r="50">
      <c r="A50" s="85" t="n">
        <v>46275</v>
      </c>
      <c r="B50" s="86" t="inlineStr">
        <is>
          <t>Cucumber</t>
        </is>
      </c>
      <c r="C50" s="65" t="n">
        <v>149</v>
      </c>
      <c r="D50" s="65" t="n">
        <v>30</v>
      </c>
      <c r="E50" s="65" t="n">
        <v>0</v>
      </c>
      <c r="F50" s="65">
        <f>C50+E50-D50-K50</f>
        <v>119</v>
      </c>
      <c r="G50" s="65" t="n">
        <v>2</v>
      </c>
      <c r="H50" s="65" t="n">
        <v>41.9</v>
      </c>
      <c r="I50" s="65" t="n">
        <v>30</v>
      </c>
      <c r="J50" s="65" t="n">
        <v>114</v>
      </c>
      <c r="K50" s="65" t="n">
        <v>0</v>
      </c>
      <c r="L50" s="87">
        <f>IF(D50&gt;0,MIN(1,(C50+E50)/D50),1)</f>
        <v>1</v>
      </c>
      <c r="M50" s="88">
        <f>IF(D50&gt;0,K50/D50,0)</f>
        <v>0</v>
      </c>
      <c r="N50" s="89">
        <f>IF(H50&gt;0,F50/H50,0)</f>
        <v>2.8400954653938</v>
      </c>
      <c r="O50" s="65">
        <f>IF(F50&lt;J50,1,0)</f>
        <v>0</v>
      </c>
      <c r="P50" s="65">
        <f>IF(C50+E50&lt;D50,1,0)</f>
        <v>0</v>
      </c>
    </row>
    <row r="51">
      <c r="A51" s="90" t="n">
        <v>46275</v>
      </c>
      <c r="B51" s="91" t="inlineStr">
        <is>
          <t>Capsicum</t>
        </is>
      </c>
      <c r="C51" s="75" t="n">
        <v>206</v>
      </c>
      <c r="D51" s="75" t="n">
        <v>34</v>
      </c>
      <c r="E51" s="75" t="n">
        <v>0</v>
      </c>
      <c r="F51" s="75">
        <f>C51+E51-D51-K51</f>
        <v>172</v>
      </c>
      <c r="G51" s="75" t="n">
        <v>3</v>
      </c>
      <c r="H51" s="75" t="n">
        <v>31.3</v>
      </c>
      <c r="I51" s="75" t="n">
        <v>27</v>
      </c>
      <c r="J51" s="75" t="n">
        <v>121</v>
      </c>
      <c r="K51" s="75" t="n">
        <v>0</v>
      </c>
      <c r="L51" s="42">
        <f>IF(D51&gt;0,MIN(1,(C51+E51)/D51),1)</f>
        <v>1</v>
      </c>
      <c r="M51" s="38">
        <f>IF(D51&gt;0,K51/D51,0)</f>
        <v>0</v>
      </c>
      <c r="N51" s="39">
        <f>IF(H51&gt;0,F51/H51,0)</f>
        <v>5.49520766773163</v>
      </c>
      <c r="O51" s="75">
        <f>IF(F51&lt;J51,1,0)</f>
        <v>0</v>
      </c>
      <c r="P51" s="75">
        <f>IF(C51+E51&lt;D51,1,0)</f>
        <v>0</v>
      </c>
    </row>
    <row r="52">
      <c r="A52" s="85" t="n">
        <v>46276</v>
      </c>
      <c r="B52" s="86" t="inlineStr">
        <is>
          <t>Tomato</t>
        </is>
      </c>
      <c r="C52" s="65" t="n">
        <v>304</v>
      </c>
      <c r="D52" s="65" t="n">
        <v>62</v>
      </c>
      <c r="E52" s="65" t="n">
        <v>0</v>
      </c>
      <c r="F52" s="65">
        <f>C52+E52-D52-K52</f>
        <v>194</v>
      </c>
      <c r="G52" s="65" t="n">
        <v>3</v>
      </c>
      <c r="H52" s="65" t="n">
        <v>58.7</v>
      </c>
      <c r="I52" s="65" t="n">
        <v>51</v>
      </c>
      <c r="J52" s="65" t="n">
        <v>227</v>
      </c>
      <c r="K52" s="65" t="n">
        <v>48</v>
      </c>
      <c r="L52" s="87">
        <f>IF(D52&gt;0,MIN(1,(C52+E52)/D52),1)</f>
        <v>1</v>
      </c>
      <c r="M52" s="88">
        <f>IF(D52&gt;0,K52/D52,0)</f>
        <v>0.774193548387097</v>
      </c>
      <c r="N52" s="89">
        <f>IF(H52&gt;0,F52/H52,0)</f>
        <v>3.30494037478705</v>
      </c>
      <c r="O52" s="65">
        <f>IF(F52&lt;J52,1,0)</f>
        <v>1</v>
      </c>
      <c r="P52" s="65">
        <f>IF(C52+E52&lt;D52,1,0)</f>
        <v>0</v>
      </c>
    </row>
    <row r="53">
      <c r="A53" s="90" t="n">
        <v>46276</v>
      </c>
      <c r="B53" s="91" t="inlineStr">
        <is>
          <t>Onion</t>
        </is>
      </c>
      <c r="C53" s="75" t="n">
        <v>624</v>
      </c>
      <c r="D53" s="75" t="n">
        <v>75</v>
      </c>
      <c r="E53" s="75" t="n">
        <v>0</v>
      </c>
      <c r="F53" s="75">
        <f>C53+E53-D53-K53</f>
        <v>467</v>
      </c>
      <c r="G53" s="75" t="n">
        <v>4</v>
      </c>
      <c r="H53" s="75" t="n">
        <v>68.09999999999999</v>
      </c>
      <c r="I53" s="75" t="n">
        <v>68</v>
      </c>
      <c r="J53" s="75" t="n">
        <v>341</v>
      </c>
      <c r="K53" s="75" t="n">
        <v>82</v>
      </c>
      <c r="L53" s="42">
        <f>IF(D53&gt;0,MIN(1,(C53+E53)/D53),1)</f>
        <v>1</v>
      </c>
      <c r="M53" s="38">
        <f>IF(D53&gt;0,K53/D53,0)</f>
        <v>1.09333333333333</v>
      </c>
      <c r="N53" s="39">
        <f>IF(H53&gt;0,F53/H53,0)</f>
        <v>6.8575624082232</v>
      </c>
      <c r="O53" s="75">
        <f>IF(F53&lt;J53,1,0)</f>
        <v>0</v>
      </c>
      <c r="P53" s="75">
        <f>IF(C53+E53&lt;D53,1,0)</f>
        <v>0</v>
      </c>
    </row>
    <row r="54">
      <c r="A54" s="85" t="n">
        <v>46276</v>
      </c>
      <c r="B54" s="86" t="inlineStr">
        <is>
          <t>Potato</t>
        </is>
      </c>
      <c r="C54" s="65" t="n">
        <v>734</v>
      </c>
      <c r="D54" s="65" t="n">
        <v>74</v>
      </c>
      <c r="E54" s="65" t="n">
        <v>0</v>
      </c>
      <c r="F54" s="65">
        <f>C54+E54-D54-K54</f>
        <v>581</v>
      </c>
      <c r="G54" s="65" t="n">
        <v>4</v>
      </c>
      <c r="H54" s="65" t="n">
        <v>83.3</v>
      </c>
      <c r="I54" s="65" t="n">
        <v>83</v>
      </c>
      <c r="J54" s="65" t="n">
        <v>416</v>
      </c>
      <c r="K54" s="65" t="n">
        <v>79</v>
      </c>
      <c r="L54" s="87">
        <f>IF(D54&gt;0,MIN(1,(C54+E54)/D54),1)</f>
        <v>1</v>
      </c>
      <c r="M54" s="88">
        <f>IF(D54&gt;0,K54/D54,0)</f>
        <v>1.06756756756757</v>
      </c>
      <c r="N54" s="89">
        <f>IF(H54&gt;0,F54/H54,0)</f>
        <v>6.97478991596639</v>
      </c>
      <c r="O54" s="65">
        <f>IF(F54&lt;J54,1,0)</f>
        <v>0</v>
      </c>
      <c r="P54" s="65">
        <f>IF(C54+E54&lt;D54,1,0)</f>
        <v>0</v>
      </c>
    </row>
    <row r="55">
      <c r="A55" s="90" t="n">
        <v>46276</v>
      </c>
      <c r="B55" s="91" t="inlineStr">
        <is>
          <t>Cucumber</t>
        </is>
      </c>
      <c r="C55" s="75" t="n">
        <v>119</v>
      </c>
      <c r="D55" s="75" t="n">
        <v>46</v>
      </c>
      <c r="E55" s="75" t="n">
        <v>0</v>
      </c>
      <c r="F55" s="75">
        <f>C55+E55-D55-K55</f>
        <v>55</v>
      </c>
      <c r="G55" s="75" t="n">
        <v>2</v>
      </c>
      <c r="H55" s="75" t="n">
        <v>39.7</v>
      </c>
      <c r="I55" s="75" t="n">
        <v>28</v>
      </c>
      <c r="J55" s="75" t="n">
        <v>107</v>
      </c>
      <c r="K55" s="75" t="n">
        <v>18</v>
      </c>
      <c r="L55" s="42">
        <f>IF(D55&gt;0,MIN(1,(C55+E55)/D55),1)</f>
        <v>1</v>
      </c>
      <c r="M55" s="38">
        <f>IF(D55&gt;0,K55/D55,0)</f>
        <v>0.391304347826087</v>
      </c>
      <c r="N55" s="39">
        <f>IF(H55&gt;0,F55/H55,0)</f>
        <v>1.38539042821159</v>
      </c>
      <c r="O55" s="75">
        <f>IF(F55&lt;J55,1,0)</f>
        <v>1</v>
      </c>
      <c r="P55" s="75">
        <f>IF(C55+E55&lt;D55,1,0)</f>
        <v>0</v>
      </c>
    </row>
    <row r="56">
      <c r="A56" s="85" t="n">
        <v>46276</v>
      </c>
      <c r="B56" s="86" t="inlineStr">
        <is>
          <t>Capsicum</t>
        </is>
      </c>
      <c r="C56" s="65" t="n">
        <v>172</v>
      </c>
      <c r="D56" s="65" t="n">
        <v>36</v>
      </c>
      <c r="E56" s="65" t="n">
        <v>0</v>
      </c>
      <c r="F56" s="65">
        <f>C56+E56-D56-K56</f>
        <v>109</v>
      </c>
      <c r="G56" s="65" t="n">
        <v>3</v>
      </c>
      <c r="H56" s="65" t="n">
        <v>30.9</v>
      </c>
      <c r="I56" s="65" t="n">
        <v>27</v>
      </c>
      <c r="J56" s="65" t="n">
        <v>120</v>
      </c>
      <c r="K56" s="65" t="n">
        <v>27</v>
      </c>
      <c r="L56" s="87">
        <f>IF(D56&gt;0,MIN(1,(C56+E56)/D56),1)</f>
        <v>1</v>
      </c>
      <c r="M56" s="88">
        <f>IF(D56&gt;0,K56/D56,0)</f>
        <v>0.75</v>
      </c>
      <c r="N56" s="89">
        <f>IF(H56&gt;0,F56/H56,0)</f>
        <v>3.52750809061489</v>
      </c>
      <c r="O56" s="65">
        <f>IF(F56&lt;J56,1,0)</f>
        <v>1</v>
      </c>
      <c r="P56" s="65">
        <f>IF(C56+E56&lt;D56,1,0)</f>
        <v>0</v>
      </c>
    </row>
    <row r="57">
      <c r="A57" s="90" t="n">
        <v>46277</v>
      </c>
      <c r="B57" s="91" t="inlineStr">
        <is>
          <t>Tomato</t>
        </is>
      </c>
      <c r="C57" s="75" t="n">
        <v>194</v>
      </c>
      <c r="D57" s="75" t="n">
        <v>61</v>
      </c>
      <c r="E57" s="75" t="n">
        <v>284</v>
      </c>
      <c r="F57" s="75">
        <f>C57+E57-D57-K57</f>
        <v>417</v>
      </c>
      <c r="G57" s="75" t="n">
        <v>3</v>
      </c>
      <c r="H57" s="75" t="n">
        <v>56.9</v>
      </c>
      <c r="I57" s="75" t="n">
        <v>49</v>
      </c>
      <c r="J57" s="75" t="n">
        <v>220</v>
      </c>
      <c r="K57" s="75" t="n">
        <v>0</v>
      </c>
      <c r="L57" s="42">
        <f>IF(D57&gt;0,MIN(1,(C57+E57)/D57),1)</f>
        <v>1</v>
      </c>
      <c r="M57" s="38">
        <f>IF(D57&gt;0,K57/D57,0)</f>
        <v>0</v>
      </c>
      <c r="N57" s="39">
        <f>IF(H57&gt;0,F57/H57,0)</f>
        <v>7.3286467486819</v>
      </c>
      <c r="O57" s="75">
        <f>IF(F57&lt;J57,1,0)</f>
        <v>0</v>
      </c>
      <c r="P57" s="75">
        <f>IF(C57+E57&lt;D57,1,0)</f>
        <v>0</v>
      </c>
    </row>
    <row r="58">
      <c r="A58" s="85" t="n">
        <v>46277</v>
      </c>
      <c r="B58" s="86" t="inlineStr">
        <is>
          <t>Onion</t>
        </is>
      </c>
      <c r="C58" s="65" t="n">
        <v>467</v>
      </c>
      <c r="D58" s="65" t="n">
        <v>56</v>
      </c>
      <c r="E58" s="65" t="n">
        <v>0</v>
      </c>
      <c r="F58" s="65">
        <f>C58+E58-D58-K58</f>
        <v>411</v>
      </c>
      <c r="G58" s="65" t="n">
        <v>4</v>
      </c>
      <c r="H58" s="65" t="n">
        <v>70</v>
      </c>
      <c r="I58" s="65" t="n">
        <v>70</v>
      </c>
      <c r="J58" s="65" t="n">
        <v>350</v>
      </c>
      <c r="K58" s="65" t="n">
        <v>0</v>
      </c>
      <c r="L58" s="87">
        <f>IF(D58&gt;0,MIN(1,(C58+E58)/D58),1)</f>
        <v>1</v>
      </c>
      <c r="M58" s="88">
        <f>IF(D58&gt;0,K58/D58,0)</f>
        <v>0</v>
      </c>
      <c r="N58" s="89">
        <f>IF(H58&gt;0,F58/H58,0)</f>
        <v>5.87142857142857</v>
      </c>
      <c r="O58" s="65">
        <f>IF(F58&lt;J58,1,0)</f>
        <v>0</v>
      </c>
      <c r="P58" s="65">
        <f>IF(C58+E58&lt;D58,1,0)</f>
        <v>0</v>
      </c>
    </row>
    <row r="59">
      <c r="A59" s="90" t="n">
        <v>46277</v>
      </c>
      <c r="B59" s="91" t="inlineStr">
        <is>
          <t>Potato</t>
        </is>
      </c>
      <c r="C59" s="75" t="n">
        <v>581</v>
      </c>
      <c r="D59" s="75" t="n">
        <v>65</v>
      </c>
      <c r="E59" s="75" t="n">
        <v>0</v>
      </c>
      <c r="F59" s="75">
        <f>C59+E59-D59-K59</f>
        <v>516</v>
      </c>
      <c r="G59" s="75" t="n">
        <v>4</v>
      </c>
      <c r="H59" s="75" t="n">
        <v>84</v>
      </c>
      <c r="I59" s="75" t="n">
        <v>84</v>
      </c>
      <c r="J59" s="75" t="n">
        <v>420</v>
      </c>
      <c r="K59" s="75" t="n">
        <v>0</v>
      </c>
      <c r="L59" s="42">
        <f>IF(D59&gt;0,MIN(1,(C59+E59)/D59),1)</f>
        <v>1</v>
      </c>
      <c r="M59" s="38">
        <f>IF(D59&gt;0,K59/D59,0)</f>
        <v>0</v>
      </c>
      <c r="N59" s="39">
        <f>IF(H59&gt;0,F59/H59,0)</f>
        <v>6.14285714285714</v>
      </c>
      <c r="O59" s="75">
        <f>IF(F59&lt;J59,1,0)</f>
        <v>0</v>
      </c>
      <c r="P59" s="75">
        <f>IF(C59+E59&lt;D59,1,0)</f>
        <v>0</v>
      </c>
    </row>
    <row r="60">
      <c r="A60" s="85" t="n">
        <v>46277</v>
      </c>
      <c r="B60" s="86" t="inlineStr">
        <is>
          <t>Cucumber</t>
        </is>
      </c>
      <c r="C60" s="65" t="n">
        <v>55</v>
      </c>
      <c r="D60" s="65" t="n">
        <v>31</v>
      </c>
      <c r="E60" s="65" t="n">
        <v>160</v>
      </c>
      <c r="F60" s="65">
        <f>C60+E60-D60-K60</f>
        <v>184</v>
      </c>
      <c r="G60" s="65" t="n">
        <v>2</v>
      </c>
      <c r="H60" s="65" t="n">
        <v>40</v>
      </c>
      <c r="I60" s="65" t="n">
        <v>28</v>
      </c>
      <c r="J60" s="65" t="n">
        <v>108</v>
      </c>
      <c r="K60" s="65" t="n">
        <v>0</v>
      </c>
      <c r="L60" s="87">
        <f>IF(D60&gt;0,MIN(1,(C60+E60)/D60),1)</f>
        <v>1</v>
      </c>
      <c r="M60" s="88">
        <f>IF(D60&gt;0,K60/D60,0)</f>
        <v>0</v>
      </c>
      <c r="N60" s="89">
        <f>IF(H60&gt;0,F60/H60,0)</f>
        <v>4.6</v>
      </c>
      <c r="O60" s="65">
        <f>IF(F60&lt;J60,1,0)</f>
        <v>0</v>
      </c>
      <c r="P60" s="65">
        <f>IF(C60+E60&lt;D60,1,0)</f>
        <v>0</v>
      </c>
    </row>
    <row r="61">
      <c r="A61" s="90" t="n">
        <v>46277</v>
      </c>
      <c r="B61" s="91" t="inlineStr">
        <is>
          <t>Capsicum</t>
        </is>
      </c>
      <c r="C61" s="75" t="n">
        <v>109</v>
      </c>
      <c r="D61" s="75" t="n">
        <v>23</v>
      </c>
      <c r="E61" s="75" t="n">
        <v>157</v>
      </c>
      <c r="F61" s="75">
        <f>C61+E61-D61-K61</f>
        <v>243</v>
      </c>
      <c r="G61" s="75" t="n">
        <v>3</v>
      </c>
      <c r="H61" s="75" t="n">
        <v>31.4</v>
      </c>
      <c r="I61" s="75" t="n">
        <v>27</v>
      </c>
      <c r="J61" s="75" t="n">
        <v>121</v>
      </c>
      <c r="K61" s="75" t="n">
        <v>0</v>
      </c>
      <c r="L61" s="42">
        <f>IF(D61&gt;0,MIN(1,(C61+E61)/D61),1)</f>
        <v>1</v>
      </c>
      <c r="M61" s="38">
        <f>IF(D61&gt;0,K61/D61,0)</f>
        <v>0</v>
      </c>
      <c r="N61" s="39">
        <f>IF(H61&gt;0,F61/H61,0)</f>
        <v>7.73885350318471</v>
      </c>
      <c r="O61" s="75">
        <f>IF(F61&lt;J61,1,0)</f>
        <v>0</v>
      </c>
      <c r="P61" s="75">
        <f>IF(C61+E61&lt;D61,1,0)</f>
        <v>0</v>
      </c>
    </row>
    <row r="62">
      <c r="A62" s="85" t="n">
        <v>46278</v>
      </c>
      <c r="B62" s="86" t="inlineStr">
        <is>
          <t>Tomato</t>
        </is>
      </c>
      <c r="C62" s="65" t="n">
        <v>417</v>
      </c>
      <c r="D62" s="65" t="n">
        <v>64</v>
      </c>
      <c r="E62" s="65" t="n">
        <v>0</v>
      </c>
      <c r="F62" s="65">
        <f>C62+E62-D62-K62</f>
        <v>353</v>
      </c>
      <c r="G62" s="65" t="n">
        <v>3</v>
      </c>
      <c r="H62" s="65" t="n">
        <v>58.6</v>
      </c>
      <c r="I62" s="65" t="n">
        <v>51</v>
      </c>
      <c r="J62" s="65" t="n">
        <v>227</v>
      </c>
      <c r="K62" s="65" t="n">
        <v>0</v>
      </c>
      <c r="L62" s="87">
        <f>IF(D62&gt;0,MIN(1,(C62+E62)/D62),1)</f>
        <v>1</v>
      </c>
      <c r="M62" s="88">
        <f>IF(D62&gt;0,K62/D62,0)</f>
        <v>0</v>
      </c>
      <c r="N62" s="89">
        <f>IF(H62&gt;0,F62/H62,0)</f>
        <v>6.02389078498294</v>
      </c>
      <c r="O62" s="65">
        <f>IF(F62&lt;J62,1,0)</f>
        <v>0</v>
      </c>
      <c r="P62" s="65">
        <f>IF(C62+E62&lt;D62,1,0)</f>
        <v>0</v>
      </c>
    </row>
    <row r="63">
      <c r="A63" s="90" t="n">
        <v>46278</v>
      </c>
      <c r="B63" s="91" t="inlineStr">
        <is>
          <t>Onion</t>
        </is>
      </c>
      <c r="C63" s="75" t="n">
        <v>411</v>
      </c>
      <c r="D63" s="75" t="n">
        <v>75</v>
      </c>
      <c r="E63" s="75" t="n">
        <v>0</v>
      </c>
      <c r="F63" s="75">
        <f>C63+E63-D63-K63</f>
        <v>336</v>
      </c>
      <c r="G63" s="75" t="n">
        <v>4</v>
      </c>
      <c r="H63" s="75" t="n">
        <v>66.40000000000001</v>
      </c>
      <c r="I63" s="75" t="n">
        <v>66</v>
      </c>
      <c r="J63" s="75" t="n">
        <v>332</v>
      </c>
      <c r="K63" s="75" t="n">
        <v>0</v>
      </c>
      <c r="L63" s="42">
        <f>IF(D63&gt;0,MIN(1,(C63+E63)/D63),1)</f>
        <v>1</v>
      </c>
      <c r="M63" s="38">
        <f>IF(D63&gt;0,K63/D63,0)</f>
        <v>0</v>
      </c>
      <c r="N63" s="39">
        <f>IF(H63&gt;0,F63/H63,0)</f>
        <v>5.06024096385542</v>
      </c>
      <c r="O63" s="75">
        <f>IF(F63&lt;J63,1,0)</f>
        <v>0</v>
      </c>
      <c r="P63" s="75">
        <f>IF(C63+E63&lt;D63,1,0)</f>
        <v>0</v>
      </c>
    </row>
    <row r="64">
      <c r="A64" s="85" t="n">
        <v>46278</v>
      </c>
      <c r="B64" s="86" t="inlineStr">
        <is>
          <t>Potato</t>
        </is>
      </c>
      <c r="C64" s="65" t="n">
        <v>516</v>
      </c>
      <c r="D64" s="65" t="n">
        <v>67</v>
      </c>
      <c r="E64" s="65" t="n">
        <v>0</v>
      </c>
      <c r="F64" s="65">
        <f>C64+E64-D64-K64</f>
        <v>449</v>
      </c>
      <c r="G64" s="65" t="n">
        <v>4</v>
      </c>
      <c r="H64" s="65" t="n">
        <v>79</v>
      </c>
      <c r="I64" s="65" t="n">
        <v>79</v>
      </c>
      <c r="J64" s="65" t="n">
        <v>395</v>
      </c>
      <c r="K64" s="65" t="n">
        <v>0</v>
      </c>
      <c r="L64" s="87">
        <f>IF(D64&gt;0,MIN(1,(C64+E64)/D64),1)</f>
        <v>1</v>
      </c>
      <c r="M64" s="88">
        <f>IF(D64&gt;0,K64/D64,0)</f>
        <v>0</v>
      </c>
      <c r="N64" s="89">
        <f>IF(H64&gt;0,F64/H64,0)</f>
        <v>5.68354430379747</v>
      </c>
      <c r="O64" s="65">
        <f>IF(F64&lt;J64,1,0)</f>
        <v>0</v>
      </c>
      <c r="P64" s="65">
        <f>IF(C64+E64&lt;D64,1,0)</f>
        <v>0</v>
      </c>
    </row>
    <row r="65">
      <c r="A65" s="90" t="n">
        <v>46278</v>
      </c>
      <c r="B65" s="91" t="inlineStr">
        <is>
          <t>Cucumber</t>
        </is>
      </c>
      <c r="C65" s="75" t="n">
        <v>184</v>
      </c>
      <c r="D65" s="75" t="n">
        <v>48</v>
      </c>
      <c r="E65" s="75" t="n">
        <v>0</v>
      </c>
      <c r="F65" s="75">
        <f>C65+E65-D65-K65</f>
        <v>136</v>
      </c>
      <c r="G65" s="75" t="n">
        <v>2</v>
      </c>
      <c r="H65" s="75" t="n">
        <v>37.9</v>
      </c>
      <c r="I65" s="75" t="n">
        <v>27</v>
      </c>
      <c r="J65" s="75" t="n">
        <v>103</v>
      </c>
      <c r="K65" s="75" t="n">
        <v>0</v>
      </c>
      <c r="L65" s="42">
        <f>IF(D65&gt;0,MIN(1,(C65+E65)/D65),1)</f>
        <v>1</v>
      </c>
      <c r="M65" s="38">
        <f>IF(D65&gt;0,K65/D65,0)</f>
        <v>0</v>
      </c>
      <c r="N65" s="39">
        <f>IF(H65&gt;0,F65/H65,0)</f>
        <v>3.58839050131926</v>
      </c>
      <c r="O65" s="75">
        <f>IF(F65&lt;J65,1,0)</f>
        <v>0</v>
      </c>
      <c r="P65" s="75">
        <f>IF(C65+E65&lt;D65,1,0)</f>
        <v>0</v>
      </c>
    </row>
    <row r="66">
      <c r="A66" s="85" t="n">
        <v>46278</v>
      </c>
      <c r="B66" s="86" t="inlineStr">
        <is>
          <t>Capsicum</t>
        </is>
      </c>
      <c r="C66" s="65" t="n">
        <v>243</v>
      </c>
      <c r="D66" s="65" t="n">
        <v>33</v>
      </c>
      <c r="E66" s="65" t="n">
        <v>0</v>
      </c>
      <c r="F66" s="65">
        <f>C66+E66-D66-K66</f>
        <v>210</v>
      </c>
      <c r="G66" s="65" t="n">
        <v>3</v>
      </c>
      <c r="H66" s="65" t="n">
        <v>31.1</v>
      </c>
      <c r="I66" s="65" t="n">
        <v>27</v>
      </c>
      <c r="J66" s="65" t="n">
        <v>120</v>
      </c>
      <c r="K66" s="65" t="n">
        <v>0</v>
      </c>
      <c r="L66" s="87">
        <f>IF(D66&gt;0,MIN(1,(C66+E66)/D66),1)</f>
        <v>1</v>
      </c>
      <c r="M66" s="88">
        <f>IF(D66&gt;0,K66/D66,0)</f>
        <v>0</v>
      </c>
      <c r="N66" s="89">
        <f>IF(H66&gt;0,F66/H66,0)</f>
        <v>6.7524115755627</v>
      </c>
      <c r="O66" s="65">
        <f>IF(F66&lt;J66,1,0)</f>
        <v>0</v>
      </c>
      <c r="P66" s="65">
        <f>IF(C66+E66&lt;D66,1,0)</f>
        <v>0</v>
      </c>
    </row>
    <row r="67">
      <c r="A67" s="90" t="n">
        <v>46279</v>
      </c>
      <c r="B67" s="91" t="inlineStr">
        <is>
          <t>Tomato</t>
        </is>
      </c>
      <c r="C67" s="75" t="n">
        <v>353</v>
      </c>
      <c r="D67" s="75" t="n">
        <v>69</v>
      </c>
      <c r="E67" s="75" t="n">
        <v>0</v>
      </c>
      <c r="F67" s="75">
        <f>C67+E67-D67-K67</f>
        <v>284</v>
      </c>
      <c r="G67" s="75" t="n">
        <v>3</v>
      </c>
      <c r="H67" s="75" t="n">
        <v>60.3</v>
      </c>
      <c r="I67" s="75" t="n">
        <v>52</v>
      </c>
      <c r="J67" s="75" t="n">
        <v>233</v>
      </c>
      <c r="K67" s="75" t="n">
        <v>0</v>
      </c>
      <c r="L67" s="42">
        <f>IF(D67&gt;0,MIN(1,(C67+E67)/D67),1)</f>
        <v>1</v>
      </c>
      <c r="M67" s="38">
        <f>IF(D67&gt;0,K67/D67,0)</f>
        <v>0</v>
      </c>
      <c r="N67" s="39">
        <f>IF(H67&gt;0,F67/H67,0)</f>
        <v>4.70978441127695</v>
      </c>
      <c r="O67" s="75">
        <f>IF(F67&lt;J67,1,0)</f>
        <v>0</v>
      </c>
      <c r="P67" s="75">
        <f>IF(C67+E67&lt;D67,1,0)</f>
        <v>0</v>
      </c>
    </row>
    <row r="68">
      <c r="A68" s="85" t="n">
        <v>46279</v>
      </c>
      <c r="B68" s="86" t="inlineStr">
        <is>
          <t>Onion</t>
        </is>
      </c>
      <c r="C68" s="65" t="n">
        <v>336</v>
      </c>
      <c r="D68" s="65" t="n">
        <v>87</v>
      </c>
      <c r="E68" s="65" t="n">
        <v>418</v>
      </c>
      <c r="F68" s="65">
        <f>C68+E68-D68-K68</f>
        <v>667</v>
      </c>
      <c r="G68" s="65" t="n">
        <v>4</v>
      </c>
      <c r="H68" s="65" t="n">
        <v>69.7</v>
      </c>
      <c r="I68" s="65" t="n">
        <v>70</v>
      </c>
      <c r="J68" s="65" t="n">
        <v>349</v>
      </c>
      <c r="K68" s="65" t="n">
        <v>0</v>
      </c>
      <c r="L68" s="87">
        <f>IF(D68&gt;0,MIN(1,(C68+E68)/D68),1)</f>
        <v>1</v>
      </c>
      <c r="M68" s="88">
        <f>IF(D68&gt;0,K68/D68,0)</f>
        <v>0</v>
      </c>
      <c r="N68" s="89">
        <f>IF(H68&gt;0,F68/H68,0)</f>
        <v>9.56958393113343</v>
      </c>
      <c r="O68" s="65">
        <f>IF(F68&lt;J68,1,0)</f>
        <v>0</v>
      </c>
      <c r="P68" s="65">
        <f>IF(C68+E68&lt;D68,1,0)</f>
        <v>0</v>
      </c>
    </row>
    <row r="69">
      <c r="A69" s="90" t="n">
        <v>46279</v>
      </c>
      <c r="B69" s="91" t="inlineStr">
        <is>
          <t>Potato</t>
        </is>
      </c>
      <c r="C69" s="75" t="n">
        <v>449</v>
      </c>
      <c r="D69" s="75" t="n">
        <v>90</v>
      </c>
      <c r="E69" s="75" t="n">
        <v>0</v>
      </c>
      <c r="F69" s="75">
        <f>C69+E69-D69-K69</f>
        <v>359</v>
      </c>
      <c r="G69" s="75" t="n">
        <v>4</v>
      </c>
      <c r="H69" s="75" t="n">
        <v>73.7</v>
      </c>
      <c r="I69" s="75" t="n">
        <v>74</v>
      </c>
      <c r="J69" s="75" t="n">
        <v>369</v>
      </c>
      <c r="K69" s="75" t="n">
        <v>0</v>
      </c>
      <c r="L69" s="42">
        <f>IF(D69&gt;0,MIN(1,(C69+E69)/D69),1)</f>
        <v>1</v>
      </c>
      <c r="M69" s="38">
        <f>IF(D69&gt;0,K69/D69,0)</f>
        <v>0</v>
      </c>
      <c r="N69" s="39">
        <f>IF(H69&gt;0,F69/H69,0)</f>
        <v>4.87109905020353</v>
      </c>
      <c r="O69" s="75">
        <f>IF(F69&lt;J69,1,0)</f>
        <v>1</v>
      </c>
      <c r="P69" s="75">
        <f>IF(C69+E69&lt;D69,1,0)</f>
        <v>0</v>
      </c>
    </row>
    <row r="70">
      <c r="A70" s="85" t="n">
        <v>46279</v>
      </c>
      <c r="B70" s="86" t="inlineStr">
        <is>
          <t>Cucumber</t>
        </is>
      </c>
      <c r="C70" s="65" t="n">
        <v>136</v>
      </c>
      <c r="D70" s="65" t="n">
        <v>39</v>
      </c>
      <c r="E70" s="65" t="n">
        <v>0</v>
      </c>
      <c r="F70" s="65">
        <f>C70+E70-D70-K70</f>
        <v>97</v>
      </c>
      <c r="G70" s="65" t="n">
        <v>2</v>
      </c>
      <c r="H70" s="65" t="n">
        <v>40.1</v>
      </c>
      <c r="I70" s="65" t="n">
        <v>28</v>
      </c>
      <c r="J70" s="65" t="n">
        <v>108</v>
      </c>
      <c r="K70" s="65" t="n">
        <v>0</v>
      </c>
      <c r="L70" s="87">
        <f>IF(D70&gt;0,MIN(1,(C70+E70)/D70),1)</f>
        <v>1</v>
      </c>
      <c r="M70" s="88">
        <f>IF(D70&gt;0,K70/D70,0)</f>
        <v>0</v>
      </c>
      <c r="N70" s="89">
        <f>IF(H70&gt;0,F70/H70,0)</f>
        <v>2.41895261845387</v>
      </c>
      <c r="O70" s="65">
        <f>IF(F70&lt;J70,1,0)</f>
        <v>1</v>
      </c>
      <c r="P70" s="65">
        <f>IF(C70+E70&lt;D70,1,0)</f>
        <v>0</v>
      </c>
    </row>
    <row r="71">
      <c r="A71" s="90" t="n">
        <v>46279</v>
      </c>
      <c r="B71" s="91" t="inlineStr">
        <is>
          <t>Capsicum</t>
        </is>
      </c>
      <c r="C71" s="75" t="n">
        <v>210</v>
      </c>
      <c r="D71" s="75" t="n">
        <v>39</v>
      </c>
      <c r="E71" s="75" t="n">
        <v>0</v>
      </c>
      <c r="F71" s="75">
        <f>C71+E71-D71-K71</f>
        <v>171</v>
      </c>
      <c r="G71" s="75" t="n">
        <v>3</v>
      </c>
      <c r="H71" s="75" t="n">
        <v>30.9</v>
      </c>
      <c r="I71" s="75" t="n">
        <v>27</v>
      </c>
      <c r="J71" s="75" t="n">
        <v>120</v>
      </c>
      <c r="K71" s="75" t="n">
        <v>0</v>
      </c>
      <c r="L71" s="42">
        <f>IF(D71&gt;0,MIN(1,(C71+E71)/D71),1)</f>
        <v>1</v>
      </c>
      <c r="M71" s="38">
        <f>IF(D71&gt;0,K71/D71,0)</f>
        <v>0</v>
      </c>
      <c r="N71" s="39">
        <f>IF(H71&gt;0,F71/H71,0)</f>
        <v>5.53398058252427</v>
      </c>
      <c r="O71" s="75">
        <f>IF(F71&lt;J71,1,0)</f>
        <v>0</v>
      </c>
      <c r="P71" s="75">
        <f>IF(C71+E71&lt;D71,1,0)</f>
        <v>0</v>
      </c>
    </row>
    <row r="72">
      <c r="A72" s="85" t="n">
        <v>46280</v>
      </c>
      <c r="B72" s="86" t="inlineStr">
        <is>
          <t>Tomato</t>
        </is>
      </c>
      <c r="C72" s="65" t="n">
        <v>284</v>
      </c>
      <c r="D72" s="65" t="n">
        <v>46</v>
      </c>
      <c r="E72" s="65" t="n">
        <v>0</v>
      </c>
      <c r="F72" s="65">
        <f>C72+E72-D72-K72</f>
        <v>238</v>
      </c>
      <c r="G72" s="65" t="n">
        <v>3</v>
      </c>
      <c r="H72" s="65" t="n">
        <v>61.6</v>
      </c>
      <c r="I72" s="65" t="n">
        <v>53</v>
      </c>
      <c r="J72" s="65" t="n">
        <v>238</v>
      </c>
      <c r="K72" s="65" t="n">
        <v>0</v>
      </c>
      <c r="L72" s="87">
        <f>IF(D72&gt;0,MIN(1,(C72+E72)/D72),1)</f>
        <v>1</v>
      </c>
      <c r="M72" s="88">
        <f>IF(D72&gt;0,K72/D72,0)</f>
        <v>0</v>
      </c>
      <c r="N72" s="89">
        <f>IF(H72&gt;0,F72/H72,0)</f>
        <v>3.86363636363636</v>
      </c>
      <c r="O72" s="65">
        <f>IF(F72&lt;J72,1,0)</f>
        <v>0</v>
      </c>
      <c r="P72" s="65">
        <f>IF(C72+E72&lt;D72,1,0)</f>
        <v>0</v>
      </c>
    </row>
    <row r="73">
      <c r="A73" s="90" t="n">
        <v>46280</v>
      </c>
      <c r="B73" s="91" t="inlineStr">
        <is>
          <t>Onion</t>
        </is>
      </c>
      <c r="C73" s="75" t="n">
        <v>667</v>
      </c>
      <c r="D73" s="75" t="n">
        <v>82</v>
      </c>
      <c r="E73" s="75" t="n">
        <v>0</v>
      </c>
      <c r="F73" s="75">
        <f>C73+E73-D73-K73</f>
        <v>585</v>
      </c>
      <c r="G73" s="75" t="n">
        <v>4</v>
      </c>
      <c r="H73" s="75" t="n">
        <v>71.09999999999999</v>
      </c>
      <c r="I73" s="75" t="n">
        <v>71</v>
      </c>
      <c r="J73" s="75" t="n">
        <v>356</v>
      </c>
      <c r="K73" s="75" t="n">
        <v>0</v>
      </c>
      <c r="L73" s="42">
        <f>IF(D73&gt;0,MIN(1,(C73+E73)/D73),1)</f>
        <v>1</v>
      </c>
      <c r="M73" s="38">
        <f>IF(D73&gt;0,K73/D73,0)</f>
        <v>0</v>
      </c>
      <c r="N73" s="39">
        <f>IF(H73&gt;0,F73/H73,0)</f>
        <v>8.22784810126582</v>
      </c>
      <c r="O73" s="75">
        <f>IF(F73&lt;J73,1,0)</f>
        <v>0</v>
      </c>
      <c r="P73" s="75">
        <f>IF(C73+E73&lt;D73,1,0)</f>
        <v>0</v>
      </c>
    </row>
    <row r="74">
      <c r="A74" s="85" t="n">
        <v>46280</v>
      </c>
      <c r="B74" s="86" t="inlineStr">
        <is>
          <t>Potato</t>
        </is>
      </c>
      <c r="C74" s="65" t="n">
        <v>359</v>
      </c>
      <c r="D74" s="65" t="n">
        <v>100</v>
      </c>
      <c r="E74" s="65" t="n">
        <v>448</v>
      </c>
      <c r="F74" s="65">
        <f>C74+E74-D74-K74</f>
        <v>707</v>
      </c>
      <c r="G74" s="65" t="n">
        <v>4</v>
      </c>
      <c r="H74" s="65" t="n">
        <v>74.7</v>
      </c>
      <c r="I74" s="65" t="n">
        <v>75</v>
      </c>
      <c r="J74" s="65" t="n">
        <v>374</v>
      </c>
      <c r="K74" s="65" t="n">
        <v>0</v>
      </c>
      <c r="L74" s="87">
        <f>IF(D74&gt;0,MIN(1,(C74+E74)/D74),1)</f>
        <v>1</v>
      </c>
      <c r="M74" s="88">
        <f>IF(D74&gt;0,K74/D74,0)</f>
        <v>0</v>
      </c>
      <c r="N74" s="89">
        <f>IF(H74&gt;0,F74/H74,0)</f>
        <v>9.46452476572959</v>
      </c>
      <c r="O74" s="65">
        <f>IF(F74&lt;J74,1,0)</f>
        <v>0</v>
      </c>
      <c r="P74" s="65">
        <f>IF(C74+E74&lt;D74,1,0)</f>
        <v>0</v>
      </c>
    </row>
    <row r="75">
      <c r="A75" s="90" t="n">
        <v>46280</v>
      </c>
      <c r="B75" s="91" t="inlineStr">
        <is>
          <t>Cucumber</t>
        </is>
      </c>
      <c r="C75" s="75" t="n">
        <v>97</v>
      </c>
      <c r="D75" s="75" t="n">
        <v>38</v>
      </c>
      <c r="E75" s="75" t="n">
        <v>157</v>
      </c>
      <c r="F75" s="75">
        <f>C75+E75-D75-K75</f>
        <v>216</v>
      </c>
      <c r="G75" s="75" t="n">
        <v>2</v>
      </c>
      <c r="H75" s="75" t="n">
        <v>39.1</v>
      </c>
      <c r="I75" s="75" t="n">
        <v>28</v>
      </c>
      <c r="J75" s="75" t="n">
        <v>106</v>
      </c>
      <c r="K75" s="75" t="n">
        <v>0</v>
      </c>
      <c r="L75" s="42">
        <f>IF(D75&gt;0,MIN(1,(C75+E75)/D75),1)</f>
        <v>1</v>
      </c>
      <c r="M75" s="38">
        <f>IF(D75&gt;0,K75/D75,0)</f>
        <v>0</v>
      </c>
      <c r="N75" s="39">
        <f>IF(H75&gt;0,F75/H75,0)</f>
        <v>5.52429667519182</v>
      </c>
      <c r="O75" s="75">
        <f>IF(F75&lt;J75,1,0)</f>
        <v>0</v>
      </c>
      <c r="P75" s="75">
        <f>IF(C75+E75&lt;D75,1,0)</f>
        <v>0</v>
      </c>
    </row>
    <row r="76">
      <c r="A76" s="85" t="n">
        <v>46280</v>
      </c>
      <c r="B76" s="86" t="inlineStr">
        <is>
          <t>Capsicum</t>
        </is>
      </c>
      <c r="C76" s="65" t="n">
        <v>171</v>
      </c>
      <c r="D76" s="65" t="n">
        <v>36</v>
      </c>
      <c r="E76" s="65" t="n">
        <v>0</v>
      </c>
      <c r="F76" s="65">
        <f>C76+E76-D76-K76</f>
        <v>135</v>
      </c>
      <c r="G76" s="65" t="n">
        <v>3</v>
      </c>
      <c r="H76" s="65" t="n">
        <v>31.9</v>
      </c>
      <c r="I76" s="65" t="n">
        <v>28</v>
      </c>
      <c r="J76" s="65" t="n">
        <v>124</v>
      </c>
      <c r="K76" s="65" t="n">
        <v>0</v>
      </c>
      <c r="L76" s="87">
        <f>IF(D76&gt;0,MIN(1,(C76+E76)/D76),1)</f>
        <v>1</v>
      </c>
      <c r="M76" s="88">
        <f>IF(D76&gt;0,K76/D76,0)</f>
        <v>0</v>
      </c>
      <c r="N76" s="89">
        <f>IF(H76&gt;0,F76/H76,0)</f>
        <v>4.23197492163009</v>
      </c>
      <c r="O76" s="65">
        <f>IF(F76&lt;J76,1,0)</f>
        <v>0</v>
      </c>
      <c r="P76" s="65">
        <f>IF(C76+E76&lt;D76,1,0)</f>
        <v>0</v>
      </c>
    </row>
    <row r="77">
      <c r="A77" s="90" t="n">
        <v>46281</v>
      </c>
      <c r="B77" s="91" t="inlineStr">
        <is>
          <t>Tomato</t>
        </is>
      </c>
      <c r="C77" s="75" t="n">
        <v>238</v>
      </c>
      <c r="D77" s="75" t="n">
        <v>48</v>
      </c>
      <c r="E77" s="75" t="n">
        <v>0</v>
      </c>
      <c r="F77" s="75">
        <f>C77+E77-D77-K77</f>
        <v>152</v>
      </c>
      <c r="G77" s="75" t="n">
        <v>3</v>
      </c>
      <c r="H77" s="75" t="n">
        <v>60.7</v>
      </c>
      <c r="I77" s="75" t="n">
        <v>53</v>
      </c>
      <c r="J77" s="75" t="n">
        <v>235</v>
      </c>
      <c r="K77" s="75" t="n">
        <v>38</v>
      </c>
      <c r="L77" s="42">
        <f>IF(D77&gt;0,MIN(1,(C77+E77)/D77),1)</f>
        <v>1</v>
      </c>
      <c r="M77" s="38">
        <f>IF(D77&gt;0,K77/D77,0)</f>
        <v>0.791666666666667</v>
      </c>
      <c r="N77" s="39">
        <f>IF(H77&gt;0,F77/H77,0)</f>
        <v>2.50411861614498</v>
      </c>
      <c r="O77" s="75">
        <f>IF(F77&lt;J77,1,0)</f>
        <v>1</v>
      </c>
      <c r="P77" s="75">
        <f>IF(C77+E77&lt;D77,1,0)</f>
        <v>0</v>
      </c>
    </row>
    <row r="78">
      <c r="A78" s="85" t="n">
        <v>46281</v>
      </c>
      <c r="B78" s="86" t="inlineStr">
        <is>
          <t>Onion</t>
        </is>
      </c>
      <c r="C78" s="65" t="n">
        <v>585</v>
      </c>
      <c r="D78" s="65" t="n">
        <v>70</v>
      </c>
      <c r="E78" s="65" t="n">
        <v>0</v>
      </c>
      <c r="F78" s="65">
        <f>C78+E78-D78-K78</f>
        <v>438</v>
      </c>
      <c r="G78" s="65" t="n">
        <v>4</v>
      </c>
      <c r="H78" s="65" t="n">
        <v>74.7</v>
      </c>
      <c r="I78" s="65" t="n">
        <v>75</v>
      </c>
      <c r="J78" s="65" t="n">
        <v>374</v>
      </c>
      <c r="K78" s="65" t="n">
        <v>77</v>
      </c>
      <c r="L78" s="87">
        <f>IF(D78&gt;0,MIN(1,(C78+E78)/D78),1)</f>
        <v>1</v>
      </c>
      <c r="M78" s="88">
        <f>IF(D78&gt;0,K78/D78,0)</f>
        <v>1.1</v>
      </c>
      <c r="N78" s="89">
        <f>IF(H78&gt;0,F78/H78,0)</f>
        <v>5.86345381526104</v>
      </c>
      <c r="O78" s="65">
        <f>IF(F78&lt;J78,1,0)</f>
        <v>0</v>
      </c>
      <c r="P78" s="65">
        <f>IF(C78+E78&lt;D78,1,0)</f>
        <v>0</v>
      </c>
    </row>
    <row r="79">
      <c r="A79" s="90" t="n">
        <v>46281</v>
      </c>
      <c r="B79" s="91" t="inlineStr">
        <is>
          <t>Potato</t>
        </is>
      </c>
      <c r="C79" s="75" t="n">
        <v>707</v>
      </c>
      <c r="D79" s="75" t="n">
        <v>71</v>
      </c>
      <c r="E79" s="75" t="n">
        <v>0</v>
      </c>
      <c r="F79" s="75">
        <f>C79+E79-D79-K79</f>
        <v>560</v>
      </c>
      <c r="G79" s="75" t="n">
        <v>4</v>
      </c>
      <c r="H79" s="75" t="n">
        <v>77.40000000000001</v>
      </c>
      <c r="I79" s="75" t="n">
        <v>77</v>
      </c>
      <c r="J79" s="75" t="n">
        <v>387</v>
      </c>
      <c r="K79" s="75" t="n">
        <v>76</v>
      </c>
      <c r="L79" s="42">
        <f>IF(D79&gt;0,MIN(1,(C79+E79)/D79),1)</f>
        <v>1</v>
      </c>
      <c r="M79" s="38">
        <f>IF(D79&gt;0,K79/D79,0)</f>
        <v>1.07042253521127</v>
      </c>
      <c r="N79" s="39">
        <f>IF(H79&gt;0,F79/H79,0)</f>
        <v>7.23514211886305</v>
      </c>
      <c r="O79" s="75">
        <f>IF(F79&lt;J79,1,0)</f>
        <v>0</v>
      </c>
      <c r="P79" s="75">
        <f>IF(C79+E79&lt;D79,1,0)</f>
        <v>0</v>
      </c>
    </row>
    <row r="80">
      <c r="A80" s="85" t="n">
        <v>46281</v>
      </c>
      <c r="B80" s="86" t="inlineStr">
        <is>
          <t>Cucumber</t>
        </is>
      </c>
      <c r="C80" s="65" t="n">
        <v>216</v>
      </c>
      <c r="D80" s="65" t="n">
        <v>36</v>
      </c>
      <c r="E80" s="65" t="n">
        <v>0</v>
      </c>
      <c r="F80" s="65">
        <f>C80+E80-D80-K80</f>
        <v>135</v>
      </c>
      <c r="G80" s="65" t="n">
        <v>2</v>
      </c>
      <c r="H80" s="65" t="n">
        <v>37.7</v>
      </c>
      <c r="I80" s="65" t="n">
        <v>27</v>
      </c>
      <c r="J80" s="65" t="n">
        <v>102</v>
      </c>
      <c r="K80" s="65" t="n">
        <v>45</v>
      </c>
      <c r="L80" s="87">
        <f>IF(D80&gt;0,MIN(1,(C80+E80)/D80),1)</f>
        <v>1</v>
      </c>
      <c r="M80" s="88">
        <f>IF(D80&gt;0,K80/D80,0)</f>
        <v>1.25</v>
      </c>
      <c r="N80" s="89">
        <f>IF(H80&gt;0,F80/H80,0)</f>
        <v>3.58090185676393</v>
      </c>
      <c r="O80" s="65">
        <f>IF(F80&lt;J80,1,0)</f>
        <v>0</v>
      </c>
      <c r="P80" s="65">
        <f>IF(C80+E80&lt;D80,1,0)</f>
        <v>0</v>
      </c>
    </row>
    <row r="81">
      <c r="A81" s="90" t="n">
        <v>46281</v>
      </c>
      <c r="B81" s="91" t="inlineStr">
        <is>
          <t>Capsicum</t>
        </is>
      </c>
      <c r="C81" s="75" t="n">
        <v>135</v>
      </c>
      <c r="D81" s="75" t="n">
        <v>34</v>
      </c>
      <c r="E81" s="75" t="n">
        <v>0</v>
      </c>
      <c r="F81" s="75">
        <f>C81+E81-D81-K81</f>
        <v>81</v>
      </c>
      <c r="G81" s="75" t="n">
        <v>3</v>
      </c>
      <c r="H81" s="75" t="n">
        <v>33.6</v>
      </c>
      <c r="I81" s="75" t="n">
        <v>29</v>
      </c>
      <c r="J81" s="75" t="n">
        <v>130</v>
      </c>
      <c r="K81" s="75" t="n">
        <v>20</v>
      </c>
      <c r="L81" s="42">
        <f>IF(D81&gt;0,MIN(1,(C81+E81)/D81),1)</f>
        <v>1</v>
      </c>
      <c r="M81" s="38">
        <f>IF(D81&gt;0,K81/D81,0)</f>
        <v>0.588235294117647</v>
      </c>
      <c r="N81" s="39">
        <f>IF(H81&gt;0,F81/H81,0)</f>
        <v>2.41071428571429</v>
      </c>
      <c r="O81" s="75">
        <f>IF(F81&lt;J81,1,0)</f>
        <v>1</v>
      </c>
      <c r="P81" s="75">
        <f>IF(C81+E81&lt;D81,1,0)</f>
        <v>0</v>
      </c>
    </row>
    <row r="82">
      <c r="A82" s="85" t="n">
        <v>46282</v>
      </c>
      <c r="B82" s="86" t="inlineStr">
        <is>
          <t>Tomato</t>
        </is>
      </c>
      <c r="C82" s="65" t="n">
        <v>152</v>
      </c>
      <c r="D82" s="65" t="n">
        <v>47</v>
      </c>
      <c r="E82" s="65" t="n">
        <v>291</v>
      </c>
      <c r="F82" s="65">
        <f>C82+E82-D82-K82</f>
        <v>396</v>
      </c>
      <c r="G82" s="65" t="n">
        <v>3</v>
      </c>
      <c r="H82" s="65" t="n">
        <v>58.1</v>
      </c>
      <c r="I82" s="65" t="n">
        <v>50</v>
      </c>
      <c r="J82" s="65" t="n">
        <v>224</v>
      </c>
      <c r="K82" s="65" t="n">
        <v>0</v>
      </c>
      <c r="L82" s="87">
        <f>IF(D82&gt;0,MIN(1,(C82+E82)/D82),1)</f>
        <v>1</v>
      </c>
      <c r="M82" s="88">
        <f>IF(D82&gt;0,K82/D82,0)</f>
        <v>0</v>
      </c>
      <c r="N82" s="89">
        <f>IF(H82&gt;0,F82/H82,0)</f>
        <v>6.815834767642</v>
      </c>
      <c r="O82" s="65">
        <f>IF(F82&lt;J82,1,0)</f>
        <v>0</v>
      </c>
      <c r="P82" s="65">
        <f>IF(C82+E82&lt;D82,1,0)</f>
        <v>0</v>
      </c>
    </row>
    <row r="83">
      <c r="A83" s="90" t="n">
        <v>46282</v>
      </c>
      <c r="B83" s="91" t="inlineStr">
        <is>
          <t>Onion</t>
        </is>
      </c>
      <c r="C83" s="75" t="n">
        <v>438</v>
      </c>
      <c r="D83" s="75" t="n">
        <v>66</v>
      </c>
      <c r="E83" s="75" t="n">
        <v>0</v>
      </c>
      <c r="F83" s="75">
        <f>C83+E83-D83-K83</f>
        <v>372</v>
      </c>
      <c r="G83" s="75" t="n">
        <v>4</v>
      </c>
      <c r="H83" s="75" t="n">
        <v>73.40000000000001</v>
      </c>
      <c r="I83" s="75" t="n">
        <v>73</v>
      </c>
      <c r="J83" s="75" t="n">
        <v>367</v>
      </c>
      <c r="K83" s="75" t="n">
        <v>0</v>
      </c>
      <c r="L83" s="42">
        <f>IF(D83&gt;0,MIN(1,(C83+E83)/D83),1)</f>
        <v>1</v>
      </c>
      <c r="M83" s="38">
        <f>IF(D83&gt;0,K83/D83,0)</f>
        <v>0</v>
      </c>
      <c r="N83" s="39">
        <f>IF(H83&gt;0,F83/H83,0)</f>
        <v>5.06811989100817</v>
      </c>
      <c r="O83" s="75">
        <f>IF(F83&lt;J83,1,0)</f>
        <v>0</v>
      </c>
      <c r="P83" s="75">
        <f>IF(C83+E83&lt;D83,1,0)</f>
        <v>0</v>
      </c>
    </row>
    <row r="84">
      <c r="A84" s="85" t="n">
        <v>46282</v>
      </c>
      <c r="B84" s="86" t="inlineStr">
        <is>
          <t>Potato</t>
        </is>
      </c>
      <c r="C84" s="65" t="n">
        <v>560</v>
      </c>
      <c r="D84" s="65" t="n">
        <v>98</v>
      </c>
      <c r="E84" s="65" t="n">
        <v>0</v>
      </c>
      <c r="F84" s="65">
        <f>C84+E84-D84-K84</f>
        <v>462</v>
      </c>
      <c r="G84" s="65" t="n">
        <v>4</v>
      </c>
      <c r="H84" s="65" t="n">
        <v>78.3</v>
      </c>
      <c r="I84" s="65" t="n">
        <v>78</v>
      </c>
      <c r="J84" s="65" t="n">
        <v>391</v>
      </c>
      <c r="K84" s="65" t="n">
        <v>0</v>
      </c>
      <c r="L84" s="87">
        <f>IF(D84&gt;0,MIN(1,(C84+E84)/D84),1)</f>
        <v>1</v>
      </c>
      <c r="M84" s="88">
        <f>IF(D84&gt;0,K84/D84,0)</f>
        <v>0</v>
      </c>
      <c r="N84" s="89">
        <f>IF(H84&gt;0,F84/H84,0)</f>
        <v>5.90038314176245</v>
      </c>
      <c r="O84" s="65">
        <f>IF(F84&lt;J84,1,0)</f>
        <v>0</v>
      </c>
      <c r="P84" s="65">
        <f>IF(C84+E84&lt;D84,1,0)</f>
        <v>0</v>
      </c>
    </row>
    <row r="85">
      <c r="A85" s="90" t="n">
        <v>46282</v>
      </c>
      <c r="B85" s="91" t="inlineStr">
        <is>
          <t>Cucumber</t>
        </is>
      </c>
      <c r="C85" s="75" t="n">
        <v>135</v>
      </c>
      <c r="D85" s="75" t="n">
        <v>34</v>
      </c>
      <c r="E85" s="75" t="n">
        <v>0</v>
      </c>
      <c r="F85" s="75">
        <f>C85+E85-D85-K85</f>
        <v>101</v>
      </c>
      <c r="G85" s="75" t="n">
        <v>2</v>
      </c>
      <c r="H85" s="75" t="n">
        <v>38.3</v>
      </c>
      <c r="I85" s="75" t="n">
        <v>27</v>
      </c>
      <c r="J85" s="75" t="n">
        <v>104</v>
      </c>
      <c r="K85" s="75" t="n">
        <v>0</v>
      </c>
      <c r="L85" s="42">
        <f>IF(D85&gt;0,MIN(1,(C85+E85)/D85),1)</f>
        <v>1</v>
      </c>
      <c r="M85" s="38">
        <f>IF(D85&gt;0,K85/D85,0)</f>
        <v>0</v>
      </c>
      <c r="N85" s="39">
        <f>IF(H85&gt;0,F85/H85,0)</f>
        <v>2.63707571801567</v>
      </c>
      <c r="O85" s="75">
        <f>IF(F85&lt;J85,1,0)</f>
        <v>1</v>
      </c>
      <c r="P85" s="75">
        <f>IF(C85+E85&lt;D85,1,0)</f>
        <v>0</v>
      </c>
    </row>
    <row r="86">
      <c r="A86" s="85" t="n">
        <v>46282</v>
      </c>
      <c r="B86" s="86" t="inlineStr">
        <is>
          <t>Capsicum</t>
        </is>
      </c>
      <c r="C86" s="65" t="n">
        <v>81</v>
      </c>
      <c r="D86" s="65" t="n">
        <v>24</v>
      </c>
      <c r="E86" s="65" t="n">
        <v>168</v>
      </c>
      <c r="F86" s="65">
        <f>C86+E86-D86-K86</f>
        <v>225</v>
      </c>
      <c r="G86" s="65" t="n">
        <v>3</v>
      </c>
      <c r="H86" s="65" t="n">
        <v>33.6</v>
      </c>
      <c r="I86" s="65" t="n">
        <v>29</v>
      </c>
      <c r="J86" s="65" t="n">
        <v>130</v>
      </c>
      <c r="K86" s="65" t="n">
        <v>0</v>
      </c>
      <c r="L86" s="87">
        <f>IF(D86&gt;0,MIN(1,(C86+E86)/D86),1)</f>
        <v>1</v>
      </c>
      <c r="M86" s="88">
        <f>IF(D86&gt;0,K86/D86,0)</f>
        <v>0</v>
      </c>
      <c r="N86" s="89">
        <f>IF(H86&gt;0,F86/H86,0)</f>
        <v>6.69642857142857</v>
      </c>
      <c r="O86" s="65">
        <f>IF(F86&lt;J86,1,0)</f>
        <v>0</v>
      </c>
      <c r="P86" s="65">
        <f>IF(C86+E86&lt;D86,1,0)</f>
        <v>0</v>
      </c>
    </row>
    <row r="87">
      <c r="A87" s="90" t="n">
        <v>46283</v>
      </c>
      <c r="B87" s="91" t="inlineStr">
        <is>
          <t>Tomato</t>
        </is>
      </c>
      <c r="C87" s="75" t="n">
        <v>396</v>
      </c>
      <c r="D87" s="75" t="n">
        <v>76</v>
      </c>
      <c r="E87" s="75" t="n">
        <v>0</v>
      </c>
      <c r="F87" s="75">
        <f>C87+E87-D87-K87</f>
        <v>320</v>
      </c>
      <c r="G87" s="75" t="n">
        <v>3</v>
      </c>
      <c r="H87" s="75" t="n">
        <v>56.7</v>
      </c>
      <c r="I87" s="75" t="n">
        <v>49</v>
      </c>
      <c r="J87" s="75" t="n">
        <v>219</v>
      </c>
      <c r="K87" s="75" t="n">
        <v>0</v>
      </c>
      <c r="L87" s="42">
        <f>IF(D87&gt;0,MIN(1,(C87+E87)/D87),1)</f>
        <v>1</v>
      </c>
      <c r="M87" s="38">
        <f>IF(D87&gt;0,K87/D87,0)</f>
        <v>0</v>
      </c>
      <c r="N87" s="39">
        <f>IF(H87&gt;0,F87/H87,0)</f>
        <v>5.64373897707231</v>
      </c>
      <c r="O87" s="75">
        <f>IF(F87&lt;J87,1,0)</f>
        <v>0</v>
      </c>
      <c r="P87" s="75">
        <f>IF(C87+E87&lt;D87,1,0)</f>
        <v>0</v>
      </c>
    </row>
    <row r="88">
      <c r="A88" s="85" t="n">
        <v>46283</v>
      </c>
      <c r="B88" s="86" t="inlineStr">
        <is>
          <t>Onion</t>
        </is>
      </c>
      <c r="C88" s="65" t="n">
        <v>372</v>
      </c>
      <c r="D88" s="65" t="n">
        <v>75</v>
      </c>
      <c r="E88" s="65" t="n">
        <v>0</v>
      </c>
      <c r="F88" s="65">
        <f>C88+E88-D88-K88</f>
        <v>297</v>
      </c>
      <c r="G88" s="65" t="n">
        <v>4</v>
      </c>
      <c r="H88" s="65" t="n">
        <v>73</v>
      </c>
      <c r="I88" s="65" t="n">
        <v>73</v>
      </c>
      <c r="J88" s="65" t="n">
        <v>365</v>
      </c>
      <c r="K88" s="65" t="n">
        <v>0</v>
      </c>
      <c r="L88" s="87">
        <f>IF(D88&gt;0,MIN(1,(C88+E88)/D88),1)</f>
        <v>1</v>
      </c>
      <c r="M88" s="88">
        <f>IF(D88&gt;0,K88/D88,0)</f>
        <v>0</v>
      </c>
      <c r="N88" s="89">
        <f>IF(H88&gt;0,F88/H88,0)</f>
        <v>4.06849315068493</v>
      </c>
      <c r="O88" s="65">
        <f>IF(F88&lt;J88,1,0)</f>
        <v>1</v>
      </c>
      <c r="P88" s="65">
        <f>IF(C88+E88&lt;D88,1,0)</f>
        <v>0</v>
      </c>
    </row>
    <row r="89">
      <c r="A89" s="90" t="n">
        <v>46283</v>
      </c>
      <c r="B89" s="91" t="inlineStr">
        <is>
          <t>Potato</t>
        </is>
      </c>
      <c r="C89" s="75" t="n">
        <v>462</v>
      </c>
      <c r="D89" s="75" t="n">
        <v>58</v>
      </c>
      <c r="E89" s="75" t="n">
        <v>0</v>
      </c>
      <c r="F89" s="75">
        <f>C89+E89-D89-K89</f>
        <v>404</v>
      </c>
      <c r="G89" s="75" t="n">
        <v>4</v>
      </c>
      <c r="H89" s="75" t="n">
        <v>80.7</v>
      </c>
      <c r="I89" s="75" t="n">
        <v>81</v>
      </c>
      <c r="J89" s="75" t="n">
        <v>404</v>
      </c>
      <c r="K89" s="75" t="n">
        <v>0</v>
      </c>
      <c r="L89" s="42">
        <f>IF(D89&gt;0,MIN(1,(C89+E89)/D89),1)</f>
        <v>1</v>
      </c>
      <c r="M89" s="38">
        <f>IF(D89&gt;0,K89/D89,0)</f>
        <v>0</v>
      </c>
      <c r="N89" s="39">
        <f>IF(H89&gt;0,F89/H89,0)</f>
        <v>5.00619578686493</v>
      </c>
      <c r="O89" s="75">
        <f>IF(F89&lt;J89,1,0)</f>
        <v>0</v>
      </c>
      <c r="P89" s="75">
        <f>IF(C89+E89&lt;D89,1,0)</f>
        <v>0</v>
      </c>
    </row>
    <row r="90">
      <c r="A90" s="85" t="n">
        <v>46283</v>
      </c>
      <c r="B90" s="86" t="inlineStr">
        <is>
          <t>Cucumber</t>
        </is>
      </c>
      <c r="C90" s="65" t="n">
        <v>101</v>
      </c>
      <c r="D90" s="65" t="n">
        <v>40</v>
      </c>
      <c r="E90" s="65" t="n">
        <v>155</v>
      </c>
      <c r="F90" s="65">
        <f>C90+E90-D90-K90</f>
        <v>216</v>
      </c>
      <c r="G90" s="65" t="n">
        <v>2</v>
      </c>
      <c r="H90" s="65" t="n">
        <v>38.9</v>
      </c>
      <c r="I90" s="65" t="n">
        <v>27</v>
      </c>
      <c r="J90" s="65" t="n">
        <v>105</v>
      </c>
      <c r="K90" s="65" t="n">
        <v>0</v>
      </c>
      <c r="L90" s="87">
        <f>IF(D90&gt;0,MIN(1,(C90+E90)/D90),1)</f>
        <v>1</v>
      </c>
      <c r="M90" s="88">
        <f>IF(D90&gt;0,K90/D90,0)</f>
        <v>0</v>
      </c>
      <c r="N90" s="89">
        <f>IF(H90&gt;0,F90/H90,0)</f>
        <v>5.55269922879177</v>
      </c>
      <c r="O90" s="65">
        <f>IF(F90&lt;J90,1,0)</f>
        <v>0</v>
      </c>
      <c r="P90" s="65">
        <f>IF(C90+E90&lt;D90,1,0)</f>
        <v>0</v>
      </c>
    </row>
    <row r="91">
      <c r="A91" s="90" t="n">
        <v>46283</v>
      </c>
      <c r="B91" s="91" t="inlineStr">
        <is>
          <t>Capsicum</t>
        </is>
      </c>
      <c r="C91" s="75" t="n">
        <v>225</v>
      </c>
      <c r="D91" s="75" t="n">
        <v>24</v>
      </c>
      <c r="E91" s="75" t="n">
        <v>0</v>
      </c>
      <c r="F91" s="75">
        <f>C91+E91-D91-K91</f>
        <v>201</v>
      </c>
      <c r="G91" s="75" t="n">
        <v>3</v>
      </c>
      <c r="H91" s="75" t="n">
        <v>32.1</v>
      </c>
      <c r="I91" s="75" t="n">
        <v>28</v>
      </c>
      <c r="J91" s="75" t="n">
        <v>124</v>
      </c>
      <c r="K91" s="75" t="n">
        <v>0</v>
      </c>
      <c r="L91" s="42">
        <f>IF(D91&gt;0,MIN(1,(C91+E91)/D91),1)</f>
        <v>1</v>
      </c>
      <c r="M91" s="38">
        <f>IF(D91&gt;0,K91/D91,0)</f>
        <v>0</v>
      </c>
      <c r="N91" s="39">
        <f>IF(H91&gt;0,F91/H91,0)</f>
        <v>6.26168224299065</v>
      </c>
      <c r="O91" s="75">
        <f>IF(F91&lt;J91,1,0)</f>
        <v>0</v>
      </c>
      <c r="P91" s="75">
        <f>IF(C91+E91&lt;D91,1,0)</f>
        <v>0</v>
      </c>
    </row>
    <row r="92">
      <c r="A92" s="85" t="n">
        <v>46284</v>
      </c>
      <c r="B92" s="86" t="inlineStr">
        <is>
          <t>Tomato</t>
        </is>
      </c>
      <c r="C92" s="65" t="n">
        <v>320</v>
      </c>
      <c r="D92" s="65" t="n">
        <v>47</v>
      </c>
      <c r="E92" s="65" t="n">
        <v>0</v>
      </c>
      <c r="F92" s="65">
        <f>C92+E92-D92-K92</f>
        <v>273</v>
      </c>
      <c r="G92" s="65" t="n">
        <v>3</v>
      </c>
      <c r="H92" s="65" t="n">
        <v>58.7</v>
      </c>
      <c r="I92" s="65" t="n">
        <v>51</v>
      </c>
      <c r="J92" s="65" t="n">
        <v>227</v>
      </c>
      <c r="K92" s="65" t="n">
        <v>0</v>
      </c>
      <c r="L92" s="87">
        <f>IF(D92&gt;0,MIN(1,(C92+E92)/D92),1)</f>
        <v>1</v>
      </c>
      <c r="M92" s="88">
        <f>IF(D92&gt;0,K92/D92,0)</f>
        <v>0</v>
      </c>
      <c r="N92" s="89">
        <f>IF(H92&gt;0,F92/H92,0)</f>
        <v>4.65076660988075</v>
      </c>
      <c r="O92" s="65">
        <f>IF(F92&lt;J92,1,0)</f>
        <v>0</v>
      </c>
      <c r="P92" s="65">
        <f>IF(C92+E92&lt;D92,1,0)</f>
        <v>0</v>
      </c>
    </row>
    <row r="93">
      <c r="A93" s="90" t="n">
        <v>46284</v>
      </c>
      <c r="B93" s="91" t="inlineStr">
        <is>
          <t>Onion</t>
        </is>
      </c>
      <c r="C93" s="75" t="n">
        <v>297</v>
      </c>
      <c r="D93" s="75" t="n">
        <v>84</v>
      </c>
      <c r="E93" s="75" t="n">
        <v>438</v>
      </c>
      <c r="F93" s="75">
        <f>C93+E93-D93-K93</f>
        <v>651</v>
      </c>
      <c r="G93" s="75" t="n">
        <v>4</v>
      </c>
      <c r="H93" s="75" t="n">
        <v>73</v>
      </c>
      <c r="I93" s="75" t="n">
        <v>73</v>
      </c>
      <c r="J93" s="75" t="n">
        <v>365</v>
      </c>
      <c r="K93" s="75" t="n">
        <v>0</v>
      </c>
      <c r="L93" s="42">
        <f>IF(D93&gt;0,MIN(1,(C93+E93)/D93),1)</f>
        <v>1</v>
      </c>
      <c r="M93" s="38">
        <f>IF(D93&gt;0,K93/D93,0)</f>
        <v>0</v>
      </c>
      <c r="N93" s="39">
        <f>IF(H93&gt;0,F93/H93,0)</f>
        <v>8.91780821917808</v>
      </c>
      <c r="O93" s="75">
        <f>IF(F93&lt;J93,1,0)</f>
        <v>0</v>
      </c>
      <c r="P93" s="75">
        <f>IF(C93+E93&lt;D93,1,0)</f>
        <v>0</v>
      </c>
    </row>
    <row r="94">
      <c r="A94" s="85" t="n">
        <v>46284</v>
      </c>
      <c r="B94" s="86" t="inlineStr">
        <is>
          <t>Potato</t>
        </is>
      </c>
      <c r="C94" s="65" t="n">
        <v>404</v>
      </c>
      <c r="D94" s="65" t="n">
        <v>89</v>
      </c>
      <c r="E94" s="65" t="n">
        <v>0</v>
      </c>
      <c r="F94" s="65">
        <f>C94+E94-D94-K94</f>
        <v>315</v>
      </c>
      <c r="G94" s="65" t="n">
        <v>4</v>
      </c>
      <c r="H94" s="65" t="n">
        <v>78.40000000000001</v>
      </c>
      <c r="I94" s="65" t="n">
        <v>78</v>
      </c>
      <c r="J94" s="65" t="n">
        <v>392</v>
      </c>
      <c r="K94" s="65" t="n">
        <v>0</v>
      </c>
      <c r="L94" s="87">
        <f>IF(D94&gt;0,MIN(1,(C94+E94)/D94),1)</f>
        <v>1</v>
      </c>
      <c r="M94" s="88">
        <f>IF(D94&gt;0,K94/D94,0)</f>
        <v>0</v>
      </c>
      <c r="N94" s="89">
        <f>IF(H94&gt;0,F94/H94,0)</f>
        <v>4.01785714285714</v>
      </c>
      <c r="O94" s="65">
        <f>IF(F94&lt;J94,1,0)</f>
        <v>1</v>
      </c>
      <c r="P94" s="65">
        <f>IF(C94+E94&lt;D94,1,0)</f>
        <v>0</v>
      </c>
    </row>
    <row r="95">
      <c r="A95" s="90" t="n">
        <v>46284</v>
      </c>
      <c r="B95" s="91" t="inlineStr">
        <is>
          <t>Cucumber</t>
        </is>
      </c>
      <c r="C95" s="75" t="n">
        <v>216</v>
      </c>
      <c r="D95" s="75" t="n">
        <v>37</v>
      </c>
      <c r="E95" s="75" t="n">
        <v>0</v>
      </c>
      <c r="F95" s="75">
        <f>C95+E95-D95-K95</f>
        <v>179</v>
      </c>
      <c r="G95" s="75" t="n">
        <v>2</v>
      </c>
      <c r="H95" s="75" t="n">
        <v>38</v>
      </c>
      <c r="I95" s="75" t="n">
        <v>27</v>
      </c>
      <c r="J95" s="75" t="n">
        <v>103</v>
      </c>
      <c r="K95" s="75" t="n">
        <v>0</v>
      </c>
      <c r="L95" s="42">
        <f>IF(D95&gt;0,MIN(1,(C95+E95)/D95),1)</f>
        <v>1</v>
      </c>
      <c r="M95" s="38">
        <f>IF(D95&gt;0,K95/D95,0)</f>
        <v>0</v>
      </c>
      <c r="N95" s="39">
        <f>IF(H95&gt;0,F95/H95,0)</f>
        <v>4.71052631578947</v>
      </c>
      <c r="O95" s="75">
        <f>IF(F95&lt;J95,1,0)</f>
        <v>0</v>
      </c>
      <c r="P95" s="75">
        <f>IF(C95+E95&lt;D95,1,0)</f>
        <v>0</v>
      </c>
    </row>
    <row r="96">
      <c r="A96" s="85" t="n">
        <v>46284</v>
      </c>
      <c r="B96" s="86" t="inlineStr">
        <is>
          <t>Capsicum</t>
        </is>
      </c>
      <c r="C96" s="65" t="n">
        <v>201</v>
      </c>
      <c r="D96" s="65" t="n">
        <v>31</v>
      </c>
      <c r="E96" s="65" t="n">
        <v>0</v>
      </c>
      <c r="F96" s="65">
        <f>C96+E96-D96-K96</f>
        <v>170</v>
      </c>
      <c r="G96" s="65" t="n">
        <v>3</v>
      </c>
      <c r="H96" s="65" t="n">
        <v>30.4</v>
      </c>
      <c r="I96" s="65" t="n">
        <v>26</v>
      </c>
      <c r="J96" s="65" t="n">
        <v>117</v>
      </c>
      <c r="K96" s="65" t="n">
        <v>0</v>
      </c>
      <c r="L96" s="87">
        <f>IF(D96&gt;0,MIN(1,(C96+E96)/D96),1)</f>
        <v>1</v>
      </c>
      <c r="M96" s="88">
        <f>IF(D96&gt;0,K96/D96,0)</f>
        <v>0</v>
      </c>
      <c r="N96" s="89">
        <f>IF(H96&gt;0,F96/H96,0)</f>
        <v>5.5921052631579</v>
      </c>
      <c r="O96" s="65">
        <f>IF(F96&lt;J96,1,0)</f>
        <v>0</v>
      </c>
      <c r="P96" s="65">
        <f>IF(C96+E96&lt;D96,1,0)</f>
        <v>0</v>
      </c>
    </row>
    <row r="97">
      <c r="A97" s="90" t="n">
        <v>46285</v>
      </c>
      <c r="B97" s="91" t="inlineStr">
        <is>
          <t>Tomato</t>
        </is>
      </c>
      <c r="C97" s="75" t="n">
        <v>273</v>
      </c>
      <c r="D97" s="75" t="n">
        <v>61</v>
      </c>
      <c r="E97" s="75" t="n">
        <v>0</v>
      </c>
      <c r="F97" s="75">
        <f>C97+E97-D97-K97</f>
        <v>212</v>
      </c>
      <c r="G97" s="75" t="n">
        <v>3</v>
      </c>
      <c r="H97" s="75" t="n">
        <v>56.7</v>
      </c>
      <c r="I97" s="75" t="n">
        <v>49</v>
      </c>
      <c r="J97" s="75" t="n">
        <v>219</v>
      </c>
      <c r="K97" s="75" t="n">
        <v>0</v>
      </c>
      <c r="L97" s="42">
        <f>IF(D97&gt;0,MIN(1,(C97+E97)/D97),1)</f>
        <v>1</v>
      </c>
      <c r="M97" s="38">
        <f>IF(D97&gt;0,K97/D97,0)</f>
        <v>0</v>
      </c>
      <c r="N97" s="39">
        <f>IF(H97&gt;0,F97/H97,0)</f>
        <v>3.73897707231041</v>
      </c>
      <c r="O97" s="75">
        <f>IF(F97&lt;J97,1,0)</f>
        <v>1</v>
      </c>
      <c r="P97" s="75">
        <f>IF(C97+E97&lt;D97,1,0)</f>
        <v>0</v>
      </c>
    </row>
    <row r="98">
      <c r="A98" s="85" t="n">
        <v>46285</v>
      </c>
      <c r="B98" s="86" t="inlineStr">
        <is>
          <t>Onion</t>
        </is>
      </c>
      <c r="C98" s="65" t="n">
        <v>651</v>
      </c>
      <c r="D98" s="65" t="n">
        <v>72</v>
      </c>
      <c r="E98" s="65" t="n">
        <v>0</v>
      </c>
      <c r="F98" s="65">
        <f>C98+E98-D98-K98</f>
        <v>579</v>
      </c>
      <c r="G98" s="65" t="n">
        <v>4</v>
      </c>
      <c r="H98" s="65" t="n">
        <v>77</v>
      </c>
      <c r="I98" s="65" t="n">
        <v>77</v>
      </c>
      <c r="J98" s="65" t="n">
        <v>385</v>
      </c>
      <c r="K98" s="65" t="n">
        <v>0</v>
      </c>
      <c r="L98" s="87">
        <f>IF(D98&gt;0,MIN(1,(C98+E98)/D98),1)</f>
        <v>1</v>
      </c>
      <c r="M98" s="88">
        <f>IF(D98&gt;0,K98/D98,0)</f>
        <v>0</v>
      </c>
      <c r="N98" s="89">
        <f>IF(H98&gt;0,F98/H98,0)</f>
        <v>7.51948051948052</v>
      </c>
      <c r="O98" s="65">
        <f>IF(F98&lt;J98,1,0)</f>
        <v>0</v>
      </c>
      <c r="P98" s="65">
        <f>IF(C98+E98&lt;D98,1,0)</f>
        <v>0</v>
      </c>
    </row>
    <row r="99">
      <c r="A99" s="90" t="n">
        <v>46285</v>
      </c>
      <c r="B99" s="91" t="inlineStr">
        <is>
          <t>Potato</t>
        </is>
      </c>
      <c r="C99" s="75" t="n">
        <v>315</v>
      </c>
      <c r="D99" s="75" t="n">
        <v>62</v>
      </c>
      <c r="E99" s="75" t="n">
        <v>491</v>
      </c>
      <c r="F99" s="75">
        <f>C99+E99-D99-K99</f>
        <v>744</v>
      </c>
      <c r="G99" s="75" t="n">
        <v>4</v>
      </c>
      <c r="H99" s="75" t="n">
        <v>81.90000000000001</v>
      </c>
      <c r="I99" s="75" t="n">
        <v>82</v>
      </c>
      <c r="J99" s="75" t="n">
        <v>409</v>
      </c>
      <c r="K99" s="75" t="n">
        <v>0</v>
      </c>
      <c r="L99" s="42">
        <f>IF(D99&gt;0,MIN(1,(C99+E99)/D99),1)</f>
        <v>1</v>
      </c>
      <c r="M99" s="38">
        <f>IF(D99&gt;0,K99/D99,0)</f>
        <v>0</v>
      </c>
      <c r="N99" s="39">
        <f>IF(H99&gt;0,F99/H99,0)</f>
        <v>9.08424908424908</v>
      </c>
      <c r="O99" s="75">
        <f>IF(F99&lt;J99,1,0)</f>
        <v>0</v>
      </c>
      <c r="P99" s="75">
        <f>IF(C99+E99&lt;D99,1,0)</f>
        <v>0</v>
      </c>
    </row>
    <row r="100">
      <c r="A100" s="85" t="n">
        <v>46285</v>
      </c>
      <c r="B100" s="86" t="inlineStr">
        <is>
          <t>Cucumber</t>
        </is>
      </c>
      <c r="C100" s="65" t="n">
        <v>179</v>
      </c>
      <c r="D100" s="65" t="n">
        <v>45</v>
      </c>
      <c r="E100" s="65" t="n">
        <v>0</v>
      </c>
      <c r="F100" s="65">
        <f>C100+E100-D100-K100</f>
        <v>134</v>
      </c>
      <c r="G100" s="65" t="n">
        <v>2</v>
      </c>
      <c r="H100" s="65" t="n">
        <v>38.9</v>
      </c>
      <c r="I100" s="65" t="n">
        <v>27</v>
      </c>
      <c r="J100" s="65" t="n">
        <v>105</v>
      </c>
      <c r="K100" s="65" t="n">
        <v>0</v>
      </c>
      <c r="L100" s="87">
        <f>IF(D100&gt;0,MIN(1,(C100+E100)/D100),1)</f>
        <v>1</v>
      </c>
      <c r="M100" s="88">
        <f>IF(D100&gt;0,K100/D100,0)</f>
        <v>0</v>
      </c>
      <c r="N100" s="89">
        <f>IF(H100&gt;0,F100/H100,0)</f>
        <v>3.44473007712082</v>
      </c>
      <c r="O100" s="65">
        <f>IF(F100&lt;J100,1,0)</f>
        <v>0</v>
      </c>
      <c r="P100" s="65">
        <f>IF(C100+E100&lt;D100,1,0)</f>
        <v>0</v>
      </c>
    </row>
    <row r="101">
      <c r="A101" s="90" t="n">
        <v>46285</v>
      </c>
      <c r="B101" s="91" t="inlineStr">
        <is>
          <t>Capsicum</t>
        </is>
      </c>
      <c r="C101" s="75" t="n">
        <v>170</v>
      </c>
      <c r="D101" s="75" t="n">
        <v>35</v>
      </c>
      <c r="E101" s="75" t="n">
        <v>0</v>
      </c>
      <c r="F101" s="75">
        <f>C101+E101-D101-K101</f>
        <v>135</v>
      </c>
      <c r="G101" s="75" t="n">
        <v>3</v>
      </c>
      <c r="H101" s="75" t="n">
        <v>31.6</v>
      </c>
      <c r="I101" s="75" t="n">
        <v>27</v>
      </c>
      <c r="J101" s="75" t="n">
        <v>122</v>
      </c>
      <c r="K101" s="75" t="n">
        <v>0</v>
      </c>
      <c r="L101" s="42">
        <f>IF(D101&gt;0,MIN(1,(C101+E101)/D101),1)</f>
        <v>1</v>
      </c>
      <c r="M101" s="38">
        <f>IF(D101&gt;0,K101/D101,0)</f>
        <v>0</v>
      </c>
      <c r="N101" s="39">
        <f>IF(H101&gt;0,F101/H101,0)</f>
        <v>4.27215189873418</v>
      </c>
      <c r="O101" s="75">
        <f>IF(F101&lt;J101,1,0)</f>
        <v>0</v>
      </c>
      <c r="P101" s="75">
        <f>IF(C101+E101&lt;D101,1,0)</f>
        <v>0</v>
      </c>
    </row>
    <row r="102">
      <c r="A102" s="85" t="n">
        <v>46286</v>
      </c>
      <c r="B102" s="86" t="inlineStr">
        <is>
          <t>Tomato</t>
        </is>
      </c>
      <c r="C102" s="65" t="n">
        <v>212</v>
      </c>
      <c r="D102" s="65" t="n">
        <v>56</v>
      </c>
      <c r="E102" s="65" t="n">
        <v>281</v>
      </c>
      <c r="F102" s="65">
        <f>C102+E102-D102-K102</f>
        <v>350</v>
      </c>
      <c r="G102" s="65" t="n">
        <v>3</v>
      </c>
      <c r="H102" s="65" t="n">
        <v>56.3</v>
      </c>
      <c r="I102" s="65" t="n">
        <v>49</v>
      </c>
      <c r="J102" s="65" t="n">
        <v>218</v>
      </c>
      <c r="K102" s="65" t="n">
        <v>87</v>
      </c>
      <c r="L102" s="87">
        <f>IF(D102&gt;0,MIN(1,(C102+E102)/D102),1)</f>
        <v>1</v>
      </c>
      <c r="M102" s="88">
        <f>IF(D102&gt;0,K102/D102,0)</f>
        <v>1.55357142857143</v>
      </c>
      <c r="N102" s="89">
        <f>IF(H102&gt;0,F102/H102,0)</f>
        <v>6.21669626998224</v>
      </c>
      <c r="O102" s="65">
        <f>IF(F102&lt;J102,1,0)</f>
        <v>0</v>
      </c>
      <c r="P102" s="65">
        <f>IF(C102+E102&lt;D102,1,0)</f>
        <v>0</v>
      </c>
    </row>
    <row r="103">
      <c r="A103" s="90" t="n">
        <v>46286</v>
      </c>
      <c r="B103" s="91" t="inlineStr">
        <is>
          <t>Onion</t>
        </is>
      </c>
      <c r="C103" s="75" t="n">
        <v>579</v>
      </c>
      <c r="D103" s="75" t="n">
        <v>69</v>
      </c>
      <c r="E103" s="75" t="n">
        <v>0</v>
      </c>
      <c r="F103" s="75">
        <f>C103+E103-D103-K103</f>
        <v>434</v>
      </c>
      <c r="G103" s="75" t="n">
        <v>4</v>
      </c>
      <c r="H103" s="75" t="n">
        <v>76.59999999999999</v>
      </c>
      <c r="I103" s="75" t="n">
        <v>77</v>
      </c>
      <c r="J103" s="75" t="n">
        <v>383</v>
      </c>
      <c r="K103" s="75" t="n">
        <v>76</v>
      </c>
      <c r="L103" s="42">
        <f>IF(D103&gt;0,MIN(1,(C103+E103)/D103),1)</f>
        <v>1</v>
      </c>
      <c r="M103" s="38">
        <f>IF(D103&gt;0,K103/D103,0)</f>
        <v>1.10144927536232</v>
      </c>
      <c r="N103" s="39">
        <f>IF(H103&gt;0,F103/H103,0)</f>
        <v>5.66579634464752</v>
      </c>
      <c r="O103" s="75">
        <f>IF(F103&lt;J103,1,0)</f>
        <v>0</v>
      </c>
      <c r="P103" s="75">
        <f>IF(C103+E103&lt;D103,1,0)</f>
        <v>0</v>
      </c>
    </row>
    <row r="104">
      <c r="A104" s="85" t="n">
        <v>46286</v>
      </c>
      <c r="B104" s="86" t="inlineStr">
        <is>
          <t>Potato</t>
        </is>
      </c>
      <c r="C104" s="65" t="n">
        <v>744</v>
      </c>
      <c r="D104" s="65" t="n">
        <v>87</v>
      </c>
      <c r="E104" s="65" t="n">
        <v>0</v>
      </c>
      <c r="F104" s="65">
        <f>C104+E104-D104-K104</f>
        <v>578</v>
      </c>
      <c r="G104" s="65" t="n">
        <v>4</v>
      </c>
      <c r="H104" s="65" t="n">
        <v>81.09999999999999</v>
      </c>
      <c r="I104" s="65" t="n">
        <v>81</v>
      </c>
      <c r="J104" s="65" t="n">
        <v>406</v>
      </c>
      <c r="K104" s="65" t="n">
        <v>79</v>
      </c>
      <c r="L104" s="87">
        <f>IF(D104&gt;0,MIN(1,(C104+E104)/D104),1)</f>
        <v>1</v>
      </c>
      <c r="M104" s="88">
        <f>IF(D104&gt;0,K104/D104,0)</f>
        <v>0.908045977011494</v>
      </c>
      <c r="N104" s="89">
        <f>IF(H104&gt;0,F104/H104,0)</f>
        <v>7.12700369913687</v>
      </c>
      <c r="O104" s="65">
        <f>IF(F104&lt;J104,1,0)</f>
        <v>0</v>
      </c>
      <c r="P104" s="65">
        <f>IF(C104+E104&lt;D104,1,0)</f>
        <v>0</v>
      </c>
    </row>
    <row r="105">
      <c r="A105" s="90" t="n">
        <v>46286</v>
      </c>
      <c r="B105" s="91" t="inlineStr">
        <is>
          <t>Cucumber</t>
        </is>
      </c>
      <c r="C105" s="75" t="n">
        <v>134</v>
      </c>
      <c r="D105" s="75" t="n">
        <v>38</v>
      </c>
      <c r="E105" s="75" t="n">
        <v>0</v>
      </c>
      <c r="F105" s="75">
        <f>C105+E105-D105-K105</f>
        <v>72</v>
      </c>
      <c r="G105" s="75" t="n">
        <v>2</v>
      </c>
      <c r="H105" s="75" t="n">
        <v>38.4</v>
      </c>
      <c r="I105" s="75" t="n">
        <v>27</v>
      </c>
      <c r="J105" s="75" t="n">
        <v>104</v>
      </c>
      <c r="K105" s="75" t="n">
        <v>24</v>
      </c>
      <c r="L105" s="42">
        <f>IF(D105&gt;0,MIN(1,(C105+E105)/D105),1)</f>
        <v>1</v>
      </c>
      <c r="M105" s="38">
        <f>IF(D105&gt;0,K105/D105,0)</f>
        <v>0.631578947368421</v>
      </c>
      <c r="N105" s="39">
        <f>IF(H105&gt;0,F105/H105,0)</f>
        <v>1.875</v>
      </c>
      <c r="O105" s="75">
        <f>IF(F105&lt;J105,1,0)</f>
        <v>1</v>
      </c>
      <c r="P105" s="75">
        <f>IF(C105+E105&lt;D105,1,0)</f>
        <v>0</v>
      </c>
    </row>
    <row r="106">
      <c r="A106" s="85" t="n">
        <v>46286</v>
      </c>
      <c r="B106" s="86" t="inlineStr">
        <is>
          <t>Capsicum</t>
        </is>
      </c>
      <c r="C106" s="65" t="n">
        <v>135</v>
      </c>
      <c r="D106" s="65" t="n">
        <v>29</v>
      </c>
      <c r="E106" s="65" t="n">
        <v>0</v>
      </c>
      <c r="F106" s="65">
        <f>C106+E106-D106-K106</f>
        <v>85</v>
      </c>
      <c r="G106" s="65" t="n">
        <v>3</v>
      </c>
      <c r="H106" s="65" t="n">
        <v>31.9</v>
      </c>
      <c r="I106" s="65" t="n">
        <v>28</v>
      </c>
      <c r="J106" s="65" t="n">
        <v>124</v>
      </c>
      <c r="K106" s="65" t="n">
        <v>21</v>
      </c>
      <c r="L106" s="87">
        <f>IF(D106&gt;0,MIN(1,(C106+E106)/D106),1)</f>
        <v>1</v>
      </c>
      <c r="M106" s="88">
        <f>IF(D106&gt;0,K106/D106,0)</f>
        <v>0.724137931034483</v>
      </c>
      <c r="N106" s="89">
        <f>IF(H106&gt;0,F106/H106,0)</f>
        <v>2.66457680250784</v>
      </c>
      <c r="O106" s="65">
        <f>IF(F106&lt;J106,1,0)</f>
        <v>1</v>
      </c>
      <c r="P106" s="65">
        <f>IF(C106+E106&lt;D106,1,0)</f>
        <v>0</v>
      </c>
    </row>
    <row r="107">
      <c r="A107" s="90" t="n">
        <v>46287</v>
      </c>
      <c r="B107" s="91" t="inlineStr">
        <is>
          <t>Tomato</t>
        </is>
      </c>
      <c r="C107" s="75" t="n">
        <v>350</v>
      </c>
      <c r="D107" s="75" t="n">
        <v>72</v>
      </c>
      <c r="E107" s="75" t="n">
        <v>0</v>
      </c>
      <c r="F107" s="75">
        <f>C107+E107-D107-K107</f>
        <v>278</v>
      </c>
      <c r="G107" s="75" t="n">
        <v>3</v>
      </c>
      <c r="H107" s="75" t="n">
        <v>54.4</v>
      </c>
      <c r="I107" s="75" t="n">
        <v>47</v>
      </c>
      <c r="J107" s="75" t="n">
        <v>210</v>
      </c>
      <c r="K107" s="75" t="n">
        <v>0</v>
      </c>
      <c r="L107" s="42">
        <f>IF(D107&gt;0,MIN(1,(C107+E107)/D107),1)</f>
        <v>1</v>
      </c>
      <c r="M107" s="38">
        <f>IF(D107&gt;0,K107/D107,0)</f>
        <v>0</v>
      </c>
      <c r="N107" s="39">
        <f>IF(H107&gt;0,F107/H107,0)</f>
        <v>5.11029411764706</v>
      </c>
      <c r="O107" s="75">
        <f>IF(F107&lt;J107,1,0)</f>
        <v>0</v>
      </c>
      <c r="P107" s="75">
        <f>IF(C107+E107&lt;D107,1,0)</f>
        <v>0</v>
      </c>
    </row>
    <row r="108">
      <c r="A108" s="85" t="n">
        <v>46287</v>
      </c>
      <c r="B108" s="86" t="inlineStr">
        <is>
          <t>Onion</t>
        </is>
      </c>
      <c r="C108" s="65" t="n">
        <v>434</v>
      </c>
      <c r="D108" s="65" t="n">
        <v>91</v>
      </c>
      <c r="E108" s="65" t="n">
        <v>0</v>
      </c>
      <c r="F108" s="65">
        <f>C108+E108-D108-K108</f>
        <v>343</v>
      </c>
      <c r="G108" s="65" t="n">
        <v>4</v>
      </c>
      <c r="H108" s="65" t="n">
        <v>74</v>
      </c>
      <c r="I108" s="65" t="n">
        <v>74</v>
      </c>
      <c r="J108" s="65" t="n">
        <v>370</v>
      </c>
      <c r="K108" s="65" t="n">
        <v>0</v>
      </c>
      <c r="L108" s="87">
        <f>IF(D108&gt;0,MIN(1,(C108+E108)/D108),1)</f>
        <v>1</v>
      </c>
      <c r="M108" s="88">
        <f>IF(D108&gt;0,K108/D108,0)</f>
        <v>0</v>
      </c>
      <c r="N108" s="89">
        <f>IF(H108&gt;0,F108/H108,0)</f>
        <v>4.63513513513514</v>
      </c>
      <c r="O108" s="65">
        <f>IF(F108&lt;J108,1,0)</f>
        <v>1</v>
      </c>
      <c r="P108" s="65">
        <f>IF(C108+E108&lt;D108,1,0)</f>
        <v>0</v>
      </c>
    </row>
    <row r="109">
      <c r="A109" s="90" t="n">
        <v>46287</v>
      </c>
      <c r="B109" s="91" t="inlineStr">
        <is>
          <t>Potato</t>
        </is>
      </c>
      <c r="C109" s="75" t="n">
        <v>578</v>
      </c>
      <c r="D109" s="75" t="n">
        <v>65</v>
      </c>
      <c r="E109" s="75" t="n">
        <v>0</v>
      </c>
      <c r="F109" s="75">
        <f>C109+E109-D109-K109</f>
        <v>513</v>
      </c>
      <c r="G109" s="75" t="n">
        <v>4</v>
      </c>
      <c r="H109" s="75" t="n">
        <v>80.7</v>
      </c>
      <c r="I109" s="75" t="n">
        <v>81</v>
      </c>
      <c r="J109" s="75" t="n">
        <v>404</v>
      </c>
      <c r="K109" s="75" t="n">
        <v>0</v>
      </c>
      <c r="L109" s="42">
        <f>IF(D109&gt;0,MIN(1,(C109+E109)/D109),1)</f>
        <v>1</v>
      </c>
      <c r="M109" s="38">
        <f>IF(D109&gt;0,K109/D109,0)</f>
        <v>0</v>
      </c>
      <c r="N109" s="39">
        <f>IF(H109&gt;0,F109/H109,0)</f>
        <v>6.35687732342007</v>
      </c>
      <c r="O109" s="75">
        <f>IF(F109&lt;J109,1,0)</f>
        <v>0</v>
      </c>
      <c r="P109" s="75">
        <f>IF(C109+E109&lt;D109,1,0)</f>
        <v>0</v>
      </c>
    </row>
    <row r="110">
      <c r="A110" s="85" t="n">
        <v>46287</v>
      </c>
      <c r="B110" s="86" t="inlineStr">
        <is>
          <t>Cucumber</t>
        </is>
      </c>
      <c r="C110" s="65" t="n">
        <v>72</v>
      </c>
      <c r="D110" s="65" t="n">
        <v>31</v>
      </c>
      <c r="E110" s="65" t="n">
        <v>153</v>
      </c>
      <c r="F110" s="65">
        <f>C110+E110-D110-K110</f>
        <v>194</v>
      </c>
      <c r="G110" s="65" t="n">
        <v>2</v>
      </c>
      <c r="H110" s="65" t="n">
        <v>38.3</v>
      </c>
      <c r="I110" s="65" t="n">
        <v>27</v>
      </c>
      <c r="J110" s="65" t="n">
        <v>104</v>
      </c>
      <c r="K110" s="65" t="n">
        <v>0</v>
      </c>
      <c r="L110" s="87">
        <f>IF(D110&gt;0,MIN(1,(C110+E110)/D110),1)</f>
        <v>1</v>
      </c>
      <c r="M110" s="88">
        <f>IF(D110&gt;0,K110/D110,0)</f>
        <v>0</v>
      </c>
      <c r="N110" s="89">
        <f>IF(H110&gt;0,F110/H110,0)</f>
        <v>5.06527415143603</v>
      </c>
      <c r="O110" s="65">
        <f>IF(F110&lt;J110,1,0)</f>
        <v>0</v>
      </c>
      <c r="P110" s="65">
        <f>IF(C110+E110&lt;D110,1,0)</f>
        <v>0</v>
      </c>
    </row>
    <row r="111">
      <c r="A111" s="90" t="n">
        <v>46287</v>
      </c>
      <c r="B111" s="91" t="inlineStr">
        <is>
          <t>Capsicum</t>
        </is>
      </c>
      <c r="C111" s="75" t="n">
        <v>85</v>
      </c>
      <c r="D111" s="75" t="n">
        <v>36</v>
      </c>
      <c r="E111" s="75" t="n">
        <v>152</v>
      </c>
      <c r="F111" s="75">
        <f>C111+E111-D111-K111</f>
        <v>201</v>
      </c>
      <c r="G111" s="75" t="n">
        <v>3</v>
      </c>
      <c r="H111" s="75" t="n">
        <v>30.4</v>
      </c>
      <c r="I111" s="75" t="n">
        <v>26</v>
      </c>
      <c r="J111" s="75" t="n">
        <v>117</v>
      </c>
      <c r="K111" s="75" t="n">
        <v>0</v>
      </c>
      <c r="L111" s="42">
        <f>IF(D111&gt;0,MIN(1,(C111+E111)/D111),1)</f>
        <v>1</v>
      </c>
      <c r="M111" s="38">
        <f>IF(D111&gt;0,K111/D111,0)</f>
        <v>0</v>
      </c>
      <c r="N111" s="39">
        <f>IF(H111&gt;0,F111/H111,0)</f>
        <v>6.61184210526316</v>
      </c>
      <c r="O111" s="75">
        <f>IF(F111&lt;J111,1,0)</f>
        <v>0</v>
      </c>
      <c r="P111" s="75">
        <f>IF(C111+E111&lt;D111,1,0)</f>
        <v>0</v>
      </c>
    </row>
    <row r="112">
      <c r="A112" s="85" t="n">
        <v>46288</v>
      </c>
      <c r="B112" s="86" t="inlineStr">
        <is>
          <t>Tomato</t>
        </is>
      </c>
      <c r="C112" s="65" t="n">
        <v>278</v>
      </c>
      <c r="D112" s="65" t="n">
        <v>75</v>
      </c>
      <c r="E112" s="65" t="n">
        <v>0</v>
      </c>
      <c r="F112" s="65">
        <f>C112+E112-D112-K112</f>
        <v>203</v>
      </c>
      <c r="G112" s="65" t="n">
        <v>3</v>
      </c>
      <c r="H112" s="65" t="n">
        <v>58.1</v>
      </c>
      <c r="I112" s="65" t="n">
        <v>50</v>
      </c>
      <c r="J112" s="65" t="n">
        <v>224</v>
      </c>
      <c r="K112" s="65" t="n">
        <v>0</v>
      </c>
      <c r="L112" s="87">
        <f>IF(D112&gt;0,MIN(1,(C112+E112)/D112),1)</f>
        <v>1</v>
      </c>
      <c r="M112" s="88">
        <f>IF(D112&gt;0,K112/D112,0)</f>
        <v>0</v>
      </c>
      <c r="N112" s="89">
        <f>IF(H112&gt;0,F112/H112,0)</f>
        <v>3.49397590361446</v>
      </c>
      <c r="O112" s="65">
        <f>IF(F112&lt;J112,1,0)</f>
        <v>1</v>
      </c>
      <c r="P112" s="65">
        <f>IF(C112+E112&lt;D112,1,0)</f>
        <v>0</v>
      </c>
    </row>
    <row r="113">
      <c r="A113" s="90" t="n">
        <v>46288</v>
      </c>
      <c r="B113" s="91" t="inlineStr">
        <is>
          <t>Onion</t>
        </is>
      </c>
      <c r="C113" s="75" t="n">
        <v>343</v>
      </c>
      <c r="D113" s="75" t="n">
        <v>83</v>
      </c>
      <c r="E113" s="75" t="n">
        <v>452</v>
      </c>
      <c r="F113" s="75">
        <f>C113+E113-D113-K113</f>
        <v>712</v>
      </c>
      <c r="G113" s="75" t="n">
        <v>4</v>
      </c>
      <c r="H113" s="75" t="n">
        <v>75.3</v>
      </c>
      <c r="I113" s="75" t="n">
        <v>75</v>
      </c>
      <c r="J113" s="75" t="n">
        <v>376</v>
      </c>
      <c r="K113" s="75" t="n">
        <v>0</v>
      </c>
      <c r="L113" s="42">
        <f>IF(D113&gt;0,MIN(1,(C113+E113)/D113),1)</f>
        <v>1</v>
      </c>
      <c r="M113" s="38">
        <f>IF(D113&gt;0,K113/D113,0)</f>
        <v>0</v>
      </c>
      <c r="N113" s="39">
        <f>IF(H113&gt;0,F113/H113,0)</f>
        <v>9.45551128818061</v>
      </c>
      <c r="O113" s="75">
        <f>IF(F113&lt;J113,1,0)</f>
        <v>0</v>
      </c>
      <c r="P113" s="75">
        <f>IF(C113+E113&lt;D113,1,0)</f>
        <v>0</v>
      </c>
    </row>
    <row r="114">
      <c r="A114" s="85" t="n">
        <v>46288</v>
      </c>
      <c r="B114" s="86" t="inlineStr">
        <is>
          <t>Potato</t>
        </is>
      </c>
      <c r="C114" s="65" t="n">
        <v>513</v>
      </c>
      <c r="D114" s="65" t="n">
        <v>72</v>
      </c>
      <c r="E114" s="65" t="n">
        <v>0</v>
      </c>
      <c r="F114" s="65">
        <f>C114+E114-D114-K114</f>
        <v>441</v>
      </c>
      <c r="G114" s="65" t="n">
        <v>4</v>
      </c>
      <c r="H114" s="65" t="n">
        <v>75.7</v>
      </c>
      <c r="I114" s="65" t="n">
        <v>76</v>
      </c>
      <c r="J114" s="65" t="n">
        <v>379</v>
      </c>
      <c r="K114" s="65" t="n">
        <v>0</v>
      </c>
      <c r="L114" s="87">
        <f>IF(D114&gt;0,MIN(1,(C114+E114)/D114),1)</f>
        <v>1</v>
      </c>
      <c r="M114" s="88">
        <f>IF(D114&gt;0,K114/D114,0)</f>
        <v>0</v>
      </c>
      <c r="N114" s="89">
        <f>IF(H114&gt;0,F114/H114,0)</f>
        <v>5.82562747688243</v>
      </c>
      <c r="O114" s="65">
        <f>IF(F114&lt;J114,1,0)</f>
        <v>0</v>
      </c>
      <c r="P114" s="65">
        <f>IF(C114+E114&lt;D114,1,0)</f>
        <v>0</v>
      </c>
    </row>
    <row r="115">
      <c r="A115" s="90" t="n">
        <v>46288</v>
      </c>
      <c r="B115" s="91" t="inlineStr">
        <is>
          <t>Cucumber</t>
        </is>
      </c>
      <c r="C115" s="75" t="n">
        <v>194</v>
      </c>
      <c r="D115" s="75" t="n">
        <v>29</v>
      </c>
      <c r="E115" s="75" t="n">
        <v>0</v>
      </c>
      <c r="F115" s="75">
        <f>C115+E115-D115-K115</f>
        <v>165</v>
      </c>
      <c r="G115" s="75" t="n">
        <v>2</v>
      </c>
      <c r="H115" s="75" t="n">
        <v>37.3</v>
      </c>
      <c r="I115" s="75" t="n">
        <v>26</v>
      </c>
      <c r="J115" s="75" t="n">
        <v>101</v>
      </c>
      <c r="K115" s="75" t="n">
        <v>0</v>
      </c>
      <c r="L115" s="42">
        <f>IF(D115&gt;0,MIN(1,(C115+E115)/D115),1)</f>
        <v>1</v>
      </c>
      <c r="M115" s="38">
        <f>IF(D115&gt;0,K115/D115,0)</f>
        <v>0</v>
      </c>
      <c r="N115" s="39">
        <f>IF(H115&gt;0,F115/H115,0)</f>
        <v>4.42359249329759</v>
      </c>
      <c r="O115" s="75">
        <f>IF(F115&lt;J115,1,0)</f>
        <v>0</v>
      </c>
      <c r="P115" s="75">
        <f>IF(C115+E115&lt;D115,1,0)</f>
        <v>0</v>
      </c>
    </row>
    <row r="116">
      <c r="A116" s="85" t="n">
        <v>46288</v>
      </c>
      <c r="B116" s="86" t="inlineStr">
        <is>
          <t>Capsicum</t>
        </is>
      </c>
      <c r="C116" s="65" t="n">
        <v>201</v>
      </c>
      <c r="D116" s="65" t="n">
        <v>36</v>
      </c>
      <c r="E116" s="65" t="n">
        <v>0</v>
      </c>
      <c r="F116" s="65">
        <f>C116+E116-D116-K116</f>
        <v>165</v>
      </c>
      <c r="G116" s="65" t="n">
        <v>3</v>
      </c>
      <c r="H116" s="65" t="n">
        <v>30.4</v>
      </c>
      <c r="I116" s="65" t="n">
        <v>26</v>
      </c>
      <c r="J116" s="65" t="n">
        <v>117</v>
      </c>
      <c r="K116" s="65" t="n">
        <v>0</v>
      </c>
      <c r="L116" s="87">
        <f>IF(D116&gt;0,MIN(1,(C116+E116)/D116),1)</f>
        <v>1</v>
      </c>
      <c r="M116" s="88">
        <f>IF(D116&gt;0,K116/D116,0)</f>
        <v>0</v>
      </c>
      <c r="N116" s="89">
        <f>IF(H116&gt;0,F116/H116,0)</f>
        <v>5.42763157894737</v>
      </c>
      <c r="O116" s="65">
        <f>IF(F116&lt;J116,1,0)</f>
        <v>0</v>
      </c>
      <c r="P116" s="65">
        <f>IF(C116+E116&lt;D116,1,0)</f>
        <v>0</v>
      </c>
    </row>
    <row r="117">
      <c r="A117" s="90" t="n">
        <v>46289</v>
      </c>
      <c r="B117" s="91" t="inlineStr">
        <is>
          <t>Tomato</t>
        </is>
      </c>
      <c r="C117" s="75" t="n">
        <v>203</v>
      </c>
      <c r="D117" s="75" t="n">
        <v>74</v>
      </c>
      <c r="E117" s="75" t="n">
        <v>310</v>
      </c>
      <c r="F117" s="75">
        <f>C117+E117-D117-K117</f>
        <v>439</v>
      </c>
      <c r="G117" s="75" t="n">
        <v>3</v>
      </c>
      <c r="H117" s="75" t="n">
        <v>62</v>
      </c>
      <c r="I117" s="75" t="n">
        <v>54</v>
      </c>
      <c r="J117" s="75" t="n">
        <v>240</v>
      </c>
      <c r="K117" s="75" t="n">
        <v>0</v>
      </c>
      <c r="L117" s="42">
        <f>IF(D117&gt;0,MIN(1,(C117+E117)/D117),1)</f>
        <v>1</v>
      </c>
      <c r="M117" s="38">
        <f>IF(D117&gt;0,K117/D117,0)</f>
        <v>0</v>
      </c>
      <c r="N117" s="39">
        <f>IF(H117&gt;0,F117/H117,0)</f>
        <v>7.08064516129032</v>
      </c>
      <c r="O117" s="75">
        <f>IF(F117&lt;J117,1,0)</f>
        <v>0</v>
      </c>
      <c r="P117" s="75">
        <f>IF(C117+E117&lt;D117,1,0)</f>
        <v>0</v>
      </c>
    </row>
    <row r="118">
      <c r="A118" s="85" t="n">
        <v>46289</v>
      </c>
      <c r="B118" s="86" t="inlineStr">
        <is>
          <t>Onion</t>
        </is>
      </c>
      <c r="C118" s="65" t="n">
        <v>712</v>
      </c>
      <c r="D118" s="65" t="n">
        <v>85</v>
      </c>
      <c r="E118" s="65" t="n">
        <v>0</v>
      </c>
      <c r="F118" s="65">
        <f>C118+E118-D118-K118</f>
        <v>627</v>
      </c>
      <c r="G118" s="65" t="n">
        <v>4</v>
      </c>
      <c r="H118" s="65" t="n">
        <v>77.09999999999999</v>
      </c>
      <c r="I118" s="65" t="n">
        <v>77</v>
      </c>
      <c r="J118" s="65" t="n">
        <v>386</v>
      </c>
      <c r="K118" s="65" t="n">
        <v>0</v>
      </c>
      <c r="L118" s="87">
        <f>IF(D118&gt;0,MIN(1,(C118+E118)/D118),1)</f>
        <v>1</v>
      </c>
      <c r="M118" s="88">
        <f>IF(D118&gt;0,K118/D118,0)</f>
        <v>0</v>
      </c>
      <c r="N118" s="89">
        <f>IF(H118&gt;0,F118/H118,0)</f>
        <v>8.13229571984436</v>
      </c>
      <c r="O118" s="65">
        <f>IF(F118&lt;J118,1,0)</f>
        <v>0</v>
      </c>
      <c r="P118" s="65">
        <f>IF(C118+E118&lt;D118,1,0)</f>
        <v>0</v>
      </c>
    </row>
    <row r="119">
      <c r="A119" s="90" t="n">
        <v>46289</v>
      </c>
      <c r="B119" s="91" t="inlineStr">
        <is>
          <t>Potato</t>
        </is>
      </c>
      <c r="C119" s="75" t="n">
        <v>441</v>
      </c>
      <c r="D119" s="75" t="n">
        <v>93</v>
      </c>
      <c r="E119" s="75" t="n">
        <v>0</v>
      </c>
      <c r="F119" s="75">
        <f>C119+E119-D119-K119</f>
        <v>348</v>
      </c>
      <c r="G119" s="75" t="n">
        <v>4</v>
      </c>
      <c r="H119" s="75" t="n">
        <v>75.90000000000001</v>
      </c>
      <c r="I119" s="75" t="n">
        <v>76</v>
      </c>
      <c r="J119" s="75" t="n">
        <v>379</v>
      </c>
      <c r="K119" s="75" t="n">
        <v>0</v>
      </c>
      <c r="L119" s="42">
        <f>IF(D119&gt;0,MIN(1,(C119+E119)/D119),1)</f>
        <v>1</v>
      </c>
      <c r="M119" s="38">
        <f>IF(D119&gt;0,K119/D119,0)</f>
        <v>0</v>
      </c>
      <c r="N119" s="39">
        <f>IF(H119&gt;0,F119/H119,0)</f>
        <v>4.58498023715415</v>
      </c>
      <c r="O119" s="75">
        <f>IF(F119&lt;J119,1,0)</f>
        <v>1</v>
      </c>
      <c r="P119" s="75">
        <f>IF(C119+E119&lt;D119,1,0)</f>
        <v>0</v>
      </c>
    </row>
    <row r="120">
      <c r="A120" s="85" t="n">
        <v>46289</v>
      </c>
      <c r="B120" s="86" t="inlineStr">
        <is>
          <t>Cucumber</t>
        </is>
      </c>
      <c r="C120" s="65" t="n">
        <v>165</v>
      </c>
      <c r="D120" s="65" t="n">
        <v>50</v>
      </c>
      <c r="E120" s="65" t="n">
        <v>0</v>
      </c>
      <c r="F120" s="65">
        <f>C120+E120-D120-K120</f>
        <v>115</v>
      </c>
      <c r="G120" s="65" t="n">
        <v>2</v>
      </c>
      <c r="H120" s="65" t="n">
        <v>36.3</v>
      </c>
      <c r="I120" s="65" t="n">
        <v>26</v>
      </c>
      <c r="J120" s="65" t="n">
        <v>99</v>
      </c>
      <c r="K120" s="65" t="n">
        <v>0</v>
      </c>
      <c r="L120" s="87">
        <f>IF(D120&gt;0,MIN(1,(C120+E120)/D120),1)</f>
        <v>1</v>
      </c>
      <c r="M120" s="88">
        <f>IF(D120&gt;0,K120/D120,0)</f>
        <v>0</v>
      </c>
      <c r="N120" s="89">
        <f>IF(H120&gt;0,F120/H120,0)</f>
        <v>3.16804407713499</v>
      </c>
      <c r="O120" s="65">
        <f>IF(F120&lt;J120,1,0)</f>
        <v>0</v>
      </c>
      <c r="P120" s="65">
        <f>IF(C120+E120&lt;D120,1,0)</f>
        <v>0</v>
      </c>
    </row>
    <row r="121">
      <c r="A121" s="90" t="n">
        <v>46289</v>
      </c>
      <c r="B121" s="91" t="inlineStr">
        <is>
          <t>Capsicum</t>
        </is>
      </c>
      <c r="C121" s="75" t="n">
        <v>165</v>
      </c>
      <c r="D121" s="75" t="n">
        <v>31</v>
      </c>
      <c r="E121" s="75" t="n">
        <v>0</v>
      </c>
      <c r="F121" s="75">
        <f>C121+E121-D121-K121</f>
        <v>134</v>
      </c>
      <c r="G121" s="75" t="n">
        <v>3</v>
      </c>
      <c r="H121" s="75" t="n">
        <v>30.7</v>
      </c>
      <c r="I121" s="75" t="n">
        <v>27</v>
      </c>
      <c r="J121" s="75" t="n">
        <v>119</v>
      </c>
      <c r="K121" s="75" t="n">
        <v>0</v>
      </c>
      <c r="L121" s="42">
        <f>IF(D121&gt;0,MIN(1,(C121+E121)/D121),1)</f>
        <v>1</v>
      </c>
      <c r="M121" s="38">
        <f>IF(D121&gt;0,K121/D121,0)</f>
        <v>0</v>
      </c>
      <c r="N121" s="39">
        <f>IF(H121&gt;0,F121/H121,0)</f>
        <v>4.36482084690554</v>
      </c>
      <c r="O121" s="75">
        <f>IF(F121&lt;J121,1,0)</f>
        <v>0</v>
      </c>
      <c r="P121" s="75">
        <f>IF(C121+E121&lt;D121,1,0)</f>
        <v>0</v>
      </c>
    </row>
    <row r="122">
      <c r="A122" s="85" t="n">
        <v>46290</v>
      </c>
      <c r="B122" s="86" t="inlineStr">
        <is>
          <t>Tomato</t>
        </is>
      </c>
      <c r="C122" s="65" t="n">
        <v>439</v>
      </c>
      <c r="D122" s="65" t="n">
        <v>74</v>
      </c>
      <c r="E122" s="65" t="n">
        <v>0</v>
      </c>
      <c r="F122" s="65">
        <f>C122+E122-D122-K122</f>
        <v>365</v>
      </c>
      <c r="G122" s="65" t="n">
        <v>3</v>
      </c>
      <c r="H122" s="65" t="n">
        <v>65.90000000000001</v>
      </c>
      <c r="I122" s="65" t="n">
        <v>57</v>
      </c>
      <c r="J122" s="65" t="n">
        <v>255</v>
      </c>
      <c r="K122" s="65" t="n">
        <v>0</v>
      </c>
      <c r="L122" s="87">
        <f>IF(D122&gt;0,MIN(1,(C122+E122)/D122),1)</f>
        <v>1</v>
      </c>
      <c r="M122" s="88">
        <f>IF(D122&gt;0,K122/D122,0)</f>
        <v>0</v>
      </c>
      <c r="N122" s="89">
        <f>IF(H122&gt;0,F122/H122,0)</f>
        <v>5.53869499241275</v>
      </c>
      <c r="O122" s="65">
        <f>IF(F122&lt;J122,1,0)</f>
        <v>0</v>
      </c>
      <c r="P122" s="65">
        <f>IF(C122+E122&lt;D122,1,0)</f>
        <v>0</v>
      </c>
    </row>
    <row r="123">
      <c r="A123" s="90" t="n">
        <v>46290</v>
      </c>
      <c r="B123" s="91" t="inlineStr">
        <is>
          <t>Onion</t>
        </is>
      </c>
      <c r="C123" s="75" t="n">
        <v>627</v>
      </c>
      <c r="D123" s="75" t="n">
        <v>63</v>
      </c>
      <c r="E123" s="75" t="n">
        <v>0</v>
      </c>
      <c r="F123" s="75">
        <f>C123+E123-D123-K123</f>
        <v>564</v>
      </c>
      <c r="G123" s="75" t="n">
        <v>4</v>
      </c>
      <c r="H123" s="75" t="n">
        <v>79.90000000000001</v>
      </c>
      <c r="I123" s="75" t="n">
        <v>80</v>
      </c>
      <c r="J123" s="75" t="n">
        <v>399</v>
      </c>
      <c r="K123" s="75" t="n">
        <v>0</v>
      </c>
      <c r="L123" s="42">
        <f>IF(D123&gt;0,MIN(1,(C123+E123)/D123),1)</f>
        <v>1</v>
      </c>
      <c r="M123" s="38">
        <f>IF(D123&gt;0,K123/D123,0)</f>
        <v>0</v>
      </c>
      <c r="N123" s="39">
        <f>IF(H123&gt;0,F123/H123,0)</f>
        <v>7.05882352941176</v>
      </c>
      <c r="O123" s="75">
        <f>IF(F123&lt;J123,1,0)</f>
        <v>0</v>
      </c>
      <c r="P123" s="75">
        <f>IF(C123+E123&lt;D123,1,0)</f>
        <v>0</v>
      </c>
    </row>
    <row r="124">
      <c r="A124" s="85" t="n">
        <v>46290</v>
      </c>
      <c r="B124" s="86" t="inlineStr">
        <is>
          <t>Potato</t>
        </is>
      </c>
      <c r="C124" s="65" t="n">
        <v>348</v>
      </c>
      <c r="D124" s="65" t="n">
        <v>61</v>
      </c>
      <c r="E124" s="65" t="n">
        <v>451</v>
      </c>
      <c r="F124" s="65">
        <f>C124+E124-D124-K124</f>
        <v>738</v>
      </c>
      <c r="G124" s="65" t="n">
        <v>4</v>
      </c>
      <c r="H124" s="65" t="n">
        <v>75.09999999999999</v>
      </c>
      <c r="I124" s="65" t="n">
        <v>75</v>
      </c>
      <c r="J124" s="65" t="n">
        <v>376</v>
      </c>
      <c r="K124" s="65" t="n">
        <v>0</v>
      </c>
      <c r="L124" s="87">
        <f>IF(D124&gt;0,MIN(1,(C124+E124)/D124),1)</f>
        <v>1</v>
      </c>
      <c r="M124" s="88">
        <f>IF(D124&gt;0,K124/D124,0)</f>
        <v>0</v>
      </c>
      <c r="N124" s="89">
        <f>IF(H124&gt;0,F124/H124,0)</f>
        <v>9.82689747003995</v>
      </c>
      <c r="O124" s="65">
        <f>IF(F124&lt;J124,1,0)</f>
        <v>0</v>
      </c>
      <c r="P124" s="65">
        <f>IF(C124+E124&lt;D124,1,0)</f>
        <v>0</v>
      </c>
    </row>
    <row r="125">
      <c r="A125" s="90" t="n">
        <v>46290</v>
      </c>
      <c r="B125" s="91" t="inlineStr">
        <is>
          <t>Cucumber</t>
        </is>
      </c>
      <c r="C125" s="75" t="n">
        <v>115</v>
      </c>
      <c r="D125" s="75" t="n">
        <v>46</v>
      </c>
      <c r="E125" s="75" t="n">
        <v>0</v>
      </c>
      <c r="F125" s="75">
        <f>C125+E125-D125-K125</f>
        <v>69</v>
      </c>
      <c r="G125" s="75" t="n">
        <v>2</v>
      </c>
      <c r="H125" s="75" t="n">
        <v>38.6</v>
      </c>
      <c r="I125" s="75" t="n">
        <v>27</v>
      </c>
      <c r="J125" s="75" t="n">
        <v>104</v>
      </c>
      <c r="K125" s="75" t="n">
        <v>0</v>
      </c>
      <c r="L125" s="42">
        <f>IF(D125&gt;0,MIN(1,(C125+E125)/D125),1)</f>
        <v>1</v>
      </c>
      <c r="M125" s="38">
        <f>IF(D125&gt;0,K125/D125,0)</f>
        <v>0</v>
      </c>
      <c r="N125" s="39">
        <f>IF(H125&gt;0,F125/H125,0)</f>
        <v>1.78756476683938</v>
      </c>
      <c r="O125" s="75">
        <f>IF(F125&lt;J125,1,0)</f>
        <v>1</v>
      </c>
      <c r="P125" s="75">
        <f>IF(C125+E125&lt;D125,1,0)</f>
        <v>0</v>
      </c>
    </row>
    <row r="126">
      <c r="A126" s="85" t="n">
        <v>46290</v>
      </c>
      <c r="B126" s="86" t="inlineStr">
        <is>
          <t>Capsicum</t>
        </is>
      </c>
      <c r="C126" s="65" t="n">
        <v>134</v>
      </c>
      <c r="D126" s="65" t="n">
        <v>34</v>
      </c>
      <c r="E126" s="65" t="n">
        <v>0</v>
      </c>
      <c r="F126" s="65">
        <f>C126+E126-D126-K126</f>
        <v>100</v>
      </c>
      <c r="G126" s="65" t="n">
        <v>3</v>
      </c>
      <c r="H126" s="65" t="n">
        <v>31.7</v>
      </c>
      <c r="I126" s="65" t="n">
        <v>27</v>
      </c>
      <c r="J126" s="65" t="n">
        <v>122</v>
      </c>
      <c r="K126" s="65" t="n">
        <v>0</v>
      </c>
      <c r="L126" s="87">
        <f>IF(D126&gt;0,MIN(1,(C126+E126)/D126),1)</f>
        <v>1</v>
      </c>
      <c r="M126" s="88">
        <f>IF(D126&gt;0,K126/D126,0)</f>
        <v>0</v>
      </c>
      <c r="N126" s="89">
        <f>IF(H126&gt;0,F126/H126,0)</f>
        <v>3.15457413249211</v>
      </c>
      <c r="O126" s="65">
        <f>IF(F126&lt;J126,1,0)</f>
        <v>1</v>
      </c>
      <c r="P126" s="65">
        <f>IF(C126+E126&lt;D126,1,0)</f>
        <v>0</v>
      </c>
    </row>
    <row r="127">
      <c r="A127" s="90" t="n">
        <v>46291</v>
      </c>
      <c r="B127" s="91" t="inlineStr">
        <is>
          <t>Tomato</t>
        </is>
      </c>
      <c r="C127" s="75" t="n">
        <v>365</v>
      </c>
      <c r="D127" s="75" t="n">
        <v>69</v>
      </c>
      <c r="E127" s="75" t="n">
        <v>0</v>
      </c>
      <c r="F127" s="75">
        <f>C127+E127-D127-K127</f>
        <v>237</v>
      </c>
      <c r="G127" s="75" t="n">
        <v>3</v>
      </c>
      <c r="H127" s="75" t="n">
        <v>65.59999999999999</v>
      </c>
      <c r="I127" s="75" t="n">
        <v>57</v>
      </c>
      <c r="J127" s="75" t="n">
        <v>254</v>
      </c>
      <c r="K127" s="75" t="n">
        <v>59</v>
      </c>
      <c r="L127" s="42">
        <f>IF(D127&gt;0,MIN(1,(C127+E127)/D127),1)</f>
        <v>1</v>
      </c>
      <c r="M127" s="38">
        <f>IF(D127&gt;0,K127/D127,0)</f>
        <v>0.855072463768116</v>
      </c>
      <c r="N127" s="39">
        <f>IF(H127&gt;0,F127/H127,0)</f>
        <v>3.61280487804878</v>
      </c>
      <c r="O127" s="75">
        <f>IF(F127&lt;J127,1,0)</f>
        <v>1</v>
      </c>
      <c r="P127" s="75">
        <f>IF(C127+E127&lt;D127,1,0)</f>
        <v>0</v>
      </c>
    </row>
    <row r="128">
      <c r="A128" s="85" t="n">
        <v>46291</v>
      </c>
      <c r="B128" s="86" t="inlineStr">
        <is>
          <t>Onion</t>
        </is>
      </c>
      <c r="C128" s="65" t="n">
        <v>564</v>
      </c>
      <c r="D128" s="65" t="n">
        <v>57</v>
      </c>
      <c r="E128" s="65" t="n">
        <v>0</v>
      </c>
      <c r="F128" s="65">
        <f>C128+E128-D128-K128</f>
        <v>431</v>
      </c>
      <c r="G128" s="65" t="n">
        <v>4</v>
      </c>
      <c r="H128" s="65" t="n">
        <v>78.09999999999999</v>
      </c>
      <c r="I128" s="65" t="n">
        <v>78</v>
      </c>
      <c r="J128" s="65" t="n">
        <v>391</v>
      </c>
      <c r="K128" s="65" t="n">
        <v>76</v>
      </c>
      <c r="L128" s="87">
        <f>IF(D128&gt;0,MIN(1,(C128+E128)/D128),1)</f>
        <v>1</v>
      </c>
      <c r="M128" s="88">
        <f>IF(D128&gt;0,K128/D128,0)</f>
        <v>1.33333333333333</v>
      </c>
      <c r="N128" s="89">
        <f>IF(H128&gt;0,F128/H128,0)</f>
        <v>5.51856594110115</v>
      </c>
      <c r="O128" s="65">
        <f>IF(F128&lt;J128,1,0)</f>
        <v>0</v>
      </c>
      <c r="P128" s="65">
        <f>IF(C128+E128&lt;D128,1,0)</f>
        <v>0</v>
      </c>
    </row>
    <row r="129">
      <c r="A129" s="90" t="n">
        <v>46291</v>
      </c>
      <c r="B129" s="91" t="inlineStr">
        <is>
          <t>Potato</t>
        </is>
      </c>
      <c r="C129" s="75" t="n">
        <v>738</v>
      </c>
      <c r="D129" s="75" t="n">
        <v>72</v>
      </c>
      <c r="E129" s="75" t="n">
        <v>0</v>
      </c>
      <c r="F129" s="75">
        <f>C129+E129-D129-K129</f>
        <v>586</v>
      </c>
      <c r="G129" s="75" t="n">
        <v>4</v>
      </c>
      <c r="H129" s="75" t="n">
        <v>75.59999999999999</v>
      </c>
      <c r="I129" s="75" t="n">
        <v>76</v>
      </c>
      <c r="J129" s="75" t="n">
        <v>378</v>
      </c>
      <c r="K129" s="75" t="n">
        <v>80</v>
      </c>
      <c r="L129" s="42">
        <f>IF(D129&gt;0,MIN(1,(C129+E129)/D129),1)</f>
        <v>1</v>
      </c>
      <c r="M129" s="38">
        <f>IF(D129&gt;0,K129/D129,0)</f>
        <v>1.11111111111111</v>
      </c>
      <c r="N129" s="39">
        <f>IF(H129&gt;0,F129/H129,0)</f>
        <v>7.75132275132275</v>
      </c>
      <c r="O129" s="75">
        <f>IF(F129&lt;J129,1,0)</f>
        <v>0</v>
      </c>
      <c r="P129" s="75">
        <f>IF(C129+E129&lt;D129,1,0)</f>
        <v>0</v>
      </c>
    </row>
    <row r="130">
      <c r="A130" s="85" t="n">
        <v>46291</v>
      </c>
      <c r="B130" s="86" t="inlineStr">
        <is>
          <t>Cucumber</t>
        </is>
      </c>
      <c r="C130" s="65" t="n">
        <v>69</v>
      </c>
      <c r="D130" s="65" t="n">
        <v>41</v>
      </c>
      <c r="E130" s="65" t="n">
        <v>158</v>
      </c>
      <c r="F130" s="65">
        <f>C130+E130-D130-K130</f>
        <v>140</v>
      </c>
      <c r="G130" s="65" t="n">
        <v>2</v>
      </c>
      <c r="H130" s="65" t="n">
        <v>39.4</v>
      </c>
      <c r="I130" s="65" t="n">
        <v>28</v>
      </c>
      <c r="J130" s="65" t="n">
        <v>107</v>
      </c>
      <c r="K130" s="65" t="n">
        <v>46</v>
      </c>
      <c r="L130" s="87">
        <f>IF(D130&gt;0,MIN(1,(C130+E130)/D130),1)</f>
        <v>1</v>
      </c>
      <c r="M130" s="88">
        <f>IF(D130&gt;0,K130/D130,0)</f>
        <v>1.1219512195122</v>
      </c>
      <c r="N130" s="89">
        <f>IF(H130&gt;0,F130/H130,0)</f>
        <v>3.55329949238579</v>
      </c>
      <c r="O130" s="65">
        <f>IF(F130&lt;J130,1,0)</f>
        <v>0</v>
      </c>
      <c r="P130" s="65">
        <f>IF(C130+E130&lt;D130,1,0)</f>
        <v>0</v>
      </c>
    </row>
    <row r="131">
      <c r="A131" s="90" t="n">
        <v>46291</v>
      </c>
      <c r="B131" s="91" t="inlineStr">
        <is>
          <t>Capsicum</t>
        </is>
      </c>
      <c r="C131" s="75" t="n">
        <v>100</v>
      </c>
      <c r="D131" s="75" t="n">
        <v>23</v>
      </c>
      <c r="E131" s="75" t="n">
        <v>166</v>
      </c>
      <c r="F131" s="75">
        <f>C131+E131-D131-K131</f>
        <v>194</v>
      </c>
      <c r="G131" s="75" t="n">
        <v>3</v>
      </c>
      <c r="H131" s="75" t="n">
        <v>33.1</v>
      </c>
      <c r="I131" s="75" t="n">
        <v>29</v>
      </c>
      <c r="J131" s="75" t="n">
        <v>128</v>
      </c>
      <c r="K131" s="75" t="n">
        <v>49</v>
      </c>
      <c r="L131" s="42">
        <f>IF(D131&gt;0,MIN(1,(C131+E131)/D131),1)</f>
        <v>1</v>
      </c>
      <c r="M131" s="38">
        <f>IF(D131&gt;0,K131/D131,0)</f>
        <v>2.1304347826087</v>
      </c>
      <c r="N131" s="39">
        <f>IF(H131&gt;0,F131/H131,0)</f>
        <v>5.86102719033233</v>
      </c>
      <c r="O131" s="75">
        <f>IF(F131&lt;J131,1,0)</f>
        <v>0</v>
      </c>
      <c r="P131" s="75">
        <f>IF(C131+E131&lt;D131,1,0)</f>
        <v>0</v>
      </c>
    </row>
    <row r="132">
      <c r="A132" s="85" t="n">
        <v>46292</v>
      </c>
      <c r="B132" s="86" t="inlineStr">
        <is>
          <t>Tomato</t>
        </is>
      </c>
      <c r="C132" s="65" t="n">
        <v>237</v>
      </c>
      <c r="D132" s="65" t="n">
        <v>53</v>
      </c>
      <c r="E132" s="65" t="n">
        <v>344</v>
      </c>
      <c r="F132" s="65">
        <f>C132+E132-D132-K132</f>
        <v>528</v>
      </c>
      <c r="G132" s="65" t="n">
        <v>3</v>
      </c>
      <c r="H132" s="65" t="n">
        <v>68.7</v>
      </c>
      <c r="I132" s="65" t="n">
        <v>60</v>
      </c>
      <c r="J132" s="65" t="n">
        <v>266</v>
      </c>
      <c r="K132" s="65" t="n">
        <v>0</v>
      </c>
      <c r="L132" s="87">
        <f>IF(D132&gt;0,MIN(1,(C132+E132)/D132),1)</f>
        <v>1</v>
      </c>
      <c r="M132" s="88">
        <f>IF(D132&gt;0,K132/D132,0)</f>
        <v>0</v>
      </c>
      <c r="N132" s="89">
        <f>IF(H132&gt;0,F132/H132,0)</f>
        <v>7.68558951965065</v>
      </c>
      <c r="O132" s="65">
        <f>IF(F132&lt;J132,1,0)</f>
        <v>0</v>
      </c>
      <c r="P132" s="65">
        <f>IF(C132+E132&lt;D132,1,0)</f>
        <v>0</v>
      </c>
    </row>
    <row r="133">
      <c r="A133" s="90" t="n">
        <v>46292</v>
      </c>
      <c r="B133" s="91" t="inlineStr">
        <is>
          <t>Onion</t>
        </is>
      </c>
      <c r="C133" s="75" t="n">
        <v>431</v>
      </c>
      <c r="D133" s="75" t="n">
        <v>78</v>
      </c>
      <c r="E133" s="75" t="n">
        <v>0</v>
      </c>
      <c r="F133" s="75">
        <f>C133+E133-D133-K133</f>
        <v>353</v>
      </c>
      <c r="G133" s="75" t="n">
        <v>4</v>
      </c>
      <c r="H133" s="75" t="n">
        <v>74.3</v>
      </c>
      <c r="I133" s="75" t="n">
        <v>74</v>
      </c>
      <c r="J133" s="75" t="n">
        <v>371</v>
      </c>
      <c r="K133" s="75" t="n">
        <v>0</v>
      </c>
      <c r="L133" s="42">
        <f>IF(D133&gt;0,MIN(1,(C133+E133)/D133),1)</f>
        <v>1</v>
      </c>
      <c r="M133" s="38">
        <f>IF(D133&gt;0,K133/D133,0)</f>
        <v>0</v>
      </c>
      <c r="N133" s="39">
        <f>IF(H133&gt;0,F133/H133,0)</f>
        <v>4.75100942126514</v>
      </c>
      <c r="O133" s="75">
        <f>IF(F133&lt;J133,1,0)</f>
        <v>1</v>
      </c>
      <c r="P133" s="75">
        <f>IF(C133+E133&lt;D133,1,0)</f>
        <v>0</v>
      </c>
    </row>
    <row r="134">
      <c r="A134" s="85" t="n">
        <v>46292</v>
      </c>
      <c r="B134" s="86" t="inlineStr">
        <is>
          <t>Potato</t>
        </is>
      </c>
      <c r="C134" s="65" t="n">
        <v>586</v>
      </c>
      <c r="D134" s="65" t="n">
        <v>103</v>
      </c>
      <c r="E134" s="65" t="n">
        <v>0</v>
      </c>
      <c r="F134" s="65">
        <f>C134+E134-D134-K134</f>
        <v>483</v>
      </c>
      <c r="G134" s="65" t="n">
        <v>4</v>
      </c>
      <c r="H134" s="65" t="n">
        <v>73.09999999999999</v>
      </c>
      <c r="I134" s="65" t="n">
        <v>73</v>
      </c>
      <c r="J134" s="65" t="n">
        <v>366</v>
      </c>
      <c r="K134" s="65" t="n">
        <v>0</v>
      </c>
      <c r="L134" s="87">
        <f>IF(D134&gt;0,MIN(1,(C134+E134)/D134),1)</f>
        <v>1</v>
      </c>
      <c r="M134" s="88">
        <f>IF(D134&gt;0,K134/D134,0)</f>
        <v>0</v>
      </c>
      <c r="N134" s="89">
        <f>IF(H134&gt;0,F134/H134,0)</f>
        <v>6.60738714090287</v>
      </c>
      <c r="O134" s="65">
        <f>IF(F134&lt;J134,1,0)</f>
        <v>0</v>
      </c>
      <c r="P134" s="65">
        <f>IF(C134+E134&lt;D134,1,0)</f>
        <v>0</v>
      </c>
    </row>
    <row r="135">
      <c r="A135" s="90" t="n">
        <v>46292</v>
      </c>
      <c r="B135" s="91" t="inlineStr">
        <is>
          <t>Cucumber</t>
        </is>
      </c>
      <c r="C135" s="75" t="n">
        <v>140</v>
      </c>
      <c r="D135" s="75" t="n">
        <v>44</v>
      </c>
      <c r="E135" s="75" t="n">
        <v>0</v>
      </c>
      <c r="F135" s="75">
        <f>C135+E135-D135-K135</f>
        <v>96</v>
      </c>
      <c r="G135" s="75" t="n">
        <v>2</v>
      </c>
      <c r="H135" s="75" t="n">
        <v>40</v>
      </c>
      <c r="I135" s="75" t="n">
        <v>28</v>
      </c>
      <c r="J135" s="75" t="n">
        <v>108</v>
      </c>
      <c r="K135" s="75" t="n">
        <v>0</v>
      </c>
      <c r="L135" s="42">
        <f>IF(D135&gt;0,MIN(1,(C135+E135)/D135),1)</f>
        <v>1</v>
      </c>
      <c r="M135" s="38">
        <f>IF(D135&gt;0,K135/D135,0)</f>
        <v>0</v>
      </c>
      <c r="N135" s="39">
        <f>IF(H135&gt;0,F135/H135,0)</f>
        <v>2.4</v>
      </c>
      <c r="O135" s="75">
        <f>IF(F135&lt;J135,1,0)</f>
        <v>1</v>
      </c>
      <c r="P135" s="75">
        <f>IF(C135+E135&lt;D135,1,0)</f>
        <v>0</v>
      </c>
    </row>
    <row r="136">
      <c r="A136" s="85" t="n">
        <v>46292</v>
      </c>
      <c r="B136" s="86" t="inlineStr">
        <is>
          <t>Capsicum</t>
        </is>
      </c>
      <c r="C136" s="65" t="n">
        <v>194</v>
      </c>
      <c r="D136" s="65" t="n">
        <v>29</v>
      </c>
      <c r="E136" s="65" t="n">
        <v>0</v>
      </c>
      <c r="F136" s="65">
        <f>C136+E136-D136-K136</f>
        <v>165</v>
      </c>
      <c r="G136" s="65" t="n">
        <v>3</v>
      </c>
      <c r="H136" s="65" t="n">
        <v>32</v>
      </c>
      <c r="I136" s="65" t="n">
        <v>28</v>
      </c>
      <c r="J136" s="65" t="n">
        <v>124</v>
      </c>
      <c r="K136" s="65" t="n">
        <v>0</v>
      </c>
      <c r="L136" s="87">
        <f>IF(D136&gt;0,MIN(1,(C136+E136)/D136),1)</f>
        <v>1</v>
      </c>
      <c r="M136" s="88">
        <f>IF(D136&gt;0,K136/D136,0)</f>
        <v>0</v>
      </c>
      <c r="N136" s="89">
        <f>IF(H136&gt;0,F136/H136,0)</f>
        <v>5.15625</v>
      </c>
      <c r="O136" s="65">
        <f>IF(F136&lt;J136,1,0)</f>
        <v>0</v>
      </c>
      <c r="P136" s="65">
        <f>IF(C136+E136&lt;D136,1,0)</f>
        <v>0</v>
      </c>
    </row>
    <row r="137">
      <c r="A137" s="90" t="n">
        <v>46293</v>
      </c>
      <c r="B137" s="91" t="inlineStr">
        <is>
          <t>Tomato</t>
        </is>
      </c>
      <c r="C137" s="75" t="n">
        <v>528</v>
      </c>
      <c r="D137" s="75" t="n">
        <v>56</v>
      </c>
      <c r="E137" s="75" t="n">
        <v>0</v>
      </c>
      <c r="F137" s="75">
        <f>C137+E137-D137-K137</f>
        <v>472</v>
      </c>
      <c r="G137" s="75" t="n">
        <v>3</v>
      </c>
      <c r="H137" s="75" t="n">
        <v>67.59999999999999</v>
      </c>
      <c r="I137" s="75" t="n">
        <v>59</v>
      </c>
      <c r="J137" s="75" t="n">
        <v>262</v>
      </c>
      <c r="K137" s="75" t="n">
        <v>0</v>
      </c>
      <c r="L137" s="42">
        <f>IF(D137&gt;0,MIN(1,(C137+E137)/D137),1)</f>
        <v>1</v>
      </c>
      <c r="M137" s="38">
        <f>IF(D137&gt;0,K137/D137,0)</f>
        <v>0</v>
      </c>
      <c r="N137" s="39">
        <f>IF(H137&gt;0,F137/H137,0)</f>
        <v>6.98224852071006</v>
      </c>
      <c r="O137" s="75">
        <f>IF(F137&lt;J137,1,0)</f>
        <v>0</v>
      </c>
      <c r="P137" s="75">
        <f>IF(C137+E137&lt;D137,1,0)</f>
        <v>0</v>
      </c>
    </row>
    <row r="138">
      <c r="A138" s="85" t="n">
        <v>46293</v>
      </c>
      <c r="B138" s="86" t="inlineStr">
        <is>
          <t>Onion</t>
        </is>
      </c>
      <c r="C138" s="65" t="n">
        <v>353</v>
      </c>
      <c r="D138" s="65" t="n">
        <v>74</v>
      </c>
      <c r="E138" s="65" t="n">
        <v>451</v>
      </c>
      <c r="F138" s="65">
        <f>C138+E138-D138-K138</f>
        <v>730</v>
      </c>
      <c r="G138" s="65" t="n">
        <v>4</v>
      </c>
      <c r="H138" s="65" t="n">
        <v>75.09999999999999</v>
      </c>
      <c r="I138" s="65" t="n">
        <v>75</v>
      </c>
      <c r="J138" s="65" t="n">
        <v>376</v>
      </c>
      <c r="K138" s="65" t="n">
        <v>0</v>
      </c>
      <c r="L138" s="87">
        <f>IF(D138&gt;0,MIN(1,(C138+E138)/D138),1)</f>
        <v>1</v>
      </c>
      <c r="M138" s="88">
        <f>IF(D138&gt;0,K138/D138,0)</f>
        <v>0</v>
      </c>
      <c r="N138" s="89">
        <f>IF(H138&gt;0,F138/H138,0)</f>
        <v>9.72037283621838</v>
      </c>
      <c r="O138" s="65">
        <f>IF(F138&lt;J138,1,0)</f>
        <v>0</v>
      </c>
      <c r="P138" s="65">
        <f>IF(C138+E138&lt;D138,1,0)</f>
        <v>0</v>
      </c>
    </row>
    <row r="139">
      <c r="A139" s="90" t="n">
        <v>46293</v>
      </c>
      <c r="B139" s="91" t="inlineStr">
        <is>
          <t>Potato</t>
        </is>
      </c>
      <c r="C139" s="75" t="n">
        <v>483</v>
      </c>
      <c r="D139" s="75" t="n">
        <v>93</v>
      </c>
      <c r="E139" s="75" t="n">
        <v>0</v>
      </c>
      <c r="F139" s="75">
        <f>C139+E139-D139-K139</f>
        <v>390</v>
      </c>
      <c r="G139" s="75" t="n">
        <v>4</v>
      </c>
      <c r="H139" s="75" t="n">
        <v>79</v>
      </c>
      <c r="I139" s="75" t="n">
        <v>79</v>
      </c>
      <c r="J139" s="75" t="n">
        <v>395</v>
      </c>
      <c r="K139" s="75" t="n">
        <v>0</v>
      </c>
      <c r="L139" s="42">
        <f>IF(D139&gt;0,MIN(1,(C139+E139)/D139),1)</f>
        <v>1</v>
      </c>
      <c r="M139" s="38">
        <f>IF(D139&gt;0,K139/D139,0)</f>
        <v>0</v>
      </c>
      <c r="N139" s="39">
        <f>IF(H139&gt;0,F139/H139,0)</f>
        <v>4.93670886075949</v>
      </c>
      <c r="O139" s="75">
        <f>IF(F139&lt;J139,1,0)</f>
        <v>1</v>
      </c>
      <c r="P139" s="75">
        <f>IF(C139+E139&lt;D139,1,0)</f>
        <v>0</v>
      </c>
    </row>
    <row r="140">
      <c r="A140" s="85" t="n">
        <v>46293</v>
      </c>
      <c r="B140" s="86" t="inlineStr">
        <is>
          <t>Cucumber</t>
        </is>
      </c>
      <c r="C140" s="65" t="n">
        <v>96</v>
      </c>
      <c r="D140" s="65" t="n">
        <v>50</v>
      </c>
      <c r="E140" s="65" t="n">
        <v>159</v>
      </c>
      <c r="F140" s="65">
        <f>C140+E140-D140-K140</f>
        <v>205</v>
      </c>
      <c r="G140" s="65" t="n">
        <v>2</v>
      </c>
      <c r="H140" s="65" t="n">
        <v>39.9</v>
      </c>
      <c r="I140" s="65" t="n">
        <v>28</v>
      </c>
      <c r="J140" s="65" t="n">
        <v>108</v>
      </c>
      <c r="K140" s="65" t="n">
        <v>0</v>
      </c>
      <c r="L140" s="87">
        <f>IF(D140&gt;0,MIN(1,(C140+E140)/D140),1)</f>
        <v>1</v>
      </c>
      <c r="M140" s="88">
        <f>IF(D140&gt;0,K140/D140,0)</f>
        <v>0</v>
      </c>
      <c r="N140" s="89">
        <f>IF(H140&gt;0,F140/H140,0)</f>
        <v>5.13784461152882</v>
      </c>
      <c r="O140" s="65">
        <f>IF(F140&lt;J140,1,0)</f>
        <v>0</v>
      </c>
      <c r="P140" s="65">
        <f>IF(C140+E140&lt;D140,1,0)</f>
        <v>0</v>
      </c>
    </row>
    <row r="141">
      <c r="A141" s="90" t="n">
        <v>46293</v>
      </c>
      <c r="B141" s="91" t="inlineStr">
        <is>
          <t>Capsicum</t>
        </is>
      </c>
      <c r="C141" s="75" t="n">
        <v>165</v>
      </c>
      <c r="D141" s="75" t="n">
        <v>22</v>
      </c>
      <c r="E141" s="75" t="n">
        <v>0</v>
      </c>
      <c r="F141" s="75">
        <f>C141+E141-D141-K141</f>
        <v>143</v>
      </c>
      <c r="G141" s="75" t="n">
        <v>3</v>
      </c>
      <c r="H141" s="75" t="n">
        <v>31.1</v>
      </c>
      <c r="I141" s="75" t="n">
        <v>27</v>
      </c>
      <c r="J141" s="75" t="n">
        <v>120</v>
      </c>
      <c r="K141" s="75" t="n">
        <v>0</v>
      </c>
      <c r="L141" s="42">
        <f>IF(D141&gt;0,MIN(1,(C141+E141)/D141),1)</f>
        <v>1</v>
      </c>
      <c r="M141" s="38">
        <f>IF(D141&gt;0,K141/D141,0)</f>
        <v>0</v>
      </c>
      <c r="N141" s="39">
        <f>IF(H141&gt;0,F141/H141,0)</f>
        <v>4.59807073954984</v>
      </c>
      <c r="O141" s="75">
        <f>IF(F141&lt;J141,1,0)</f>
        <v>0</v>
      </c>
      <c r="P141" s="75">
        <f>IF(C141+E141&lt;D141,1,0)</f>
        <v>0</v>
      </c>
    </row>
    <row r="142">
      <c r="A142" s="85" t="n">
        <v>46294</v>
      </c>
      <c r="B142" s="86" t="inlineStr">
        <is>
          <t>Tomato</t>
        </is>
      </c>
      <c r="C142" s="65" t="n">
        <v>472</v>
      </c>
      <c r="D142" s="65" t="n">
        <v>74</v>
      </c>
      <c r="E142" s="65" t="n">
        <v>0</v>
      </c>
      <c r="F142" s="65">
        <f>C142+E142-D142-K142</f>
        <v>398</v>
      </c>
      <c r="G142" s="65" t="n">
        <v>3</v>
      </c>
      <c r="H142" s="65" t="n">
        <v>67.59999999999999</v>
      </c>
      <c r="I142" s="65" t="n">
        <v>59</v>
      </c>
      <c r="J142" s="65" t="n">
        <v>262</v>
      </c>
      <c r="K142" s="65" t="n">
        <v>0</v>
      </c>
      <c r="L142" s="87">
        <f>IF(D142&gt;0,MIN(1,(C142+E142)/D142),1)</f>
        <v>1</v>
      </c>
      <c r="M142" s="88">
        <f>IF(D142&gt;0,K142/D142,0)</f>
        <v>0</v>
      </c>
      <c r="N142" s="89">
        <f>IF(H142&gt;0,F142/H142,0)</f>
        <v>5.88757396449704</v>
      </c>
      <c r="O142" s="65">
        <f>IF(F142&lt;J142,1,0)</f>
        <v>0</v>
      </c>
      <c r="P142" s="65">
        <f>IF(C142+E142&lt;D142,1,0)</f>
        <v>0</v>
      </c>
    </row>
    <row r="143">
      <c r="A143" s="90" t="n">
        <v>46294</v>
      </c>
      <c r="B143" s="91" t="inlineStr">
        <is>
          <t>Onion</t>
        </is>
      </c>
      <c r="C143" s="75" t="n">
        <v>730</v>
      </c>
      <c r="D143" s="75" t="n">
        <v>87</v>
      </c>
      <c r="E143" s="75" t="n">
        <v>0</v>
      </c>
      <c r="F143" s="75">
        <f>C143+E143-D143-K143</f>
        <v>643</v>
      </c>
      <c r="G143" s="75" t="n">
        <v>4</v>
      </c>
      <c r="H143" s="75" t="n">
        <v>75.90000000000001</v>
      </c>
      <c r="I143" s="75" t="n">
        <v>76</v>
      </c>
      <c r="J143" s="75" t="n">
        <v>379</v>
      </c>
      <c r="K143" s="75" t="n">
        <v>0</v>
      </c>
      <c r="L143" s="42">
        <f>IF(D143&gt;0,MIN(1,(C143+E143)/D143),1)</f>
        <v>1</v>
      </c>
      <c r="M143" s="38">
        <f>IF(D143&gt;0,K143/D143,0)</f>
        <v>0</v>
      </c>
      <c r="N143" s="39">
        <f>IF(H143&gt;0,F143/H143,0)</f>
        <v>8.47167325428195</v>
      </c>
      <c r="O143" s="75">
        <f>IF(F143&lt;J143,1,0)</f>
        <v>0</v>
      </c>
      <c r="P143" s="75">
        <f>IF(C143+E143&lt;D143,1,0)</f>
        <v>0</v>
      </c>
    </row>
    <row r="144">
      <c r="A144" s="85" t="n">
        <v>46294</v>
      </c>
      <c r="B144" s="86" t="inlineStr">
        <is>
          <t>Potato</t>
        </is>
      </c>
      <c r="C144" s="65" t="n">
        <v>390</v>
      </c>
      <c r="D144" s="65" t="n">
        <v>60</v>
      </c>
      <c r="E144" s="65" t="n">
        <v>479</v>
      </c>
      <c r="F144" s="65">
        <f>C144+E144-D144-K144</f>
        <v>809</v>
      </c>
      <c r="G144" s="65" t="n">
        <v>4</v>
      </c>
      <c r="H144" s="65" t="n">
        <v>79.90000000000001</v>
      </c>
      <c r="I144" s="65" t="n">
        <v>80</v>
      </c>
      <c r="J144" s="65" t="n">
        <v>399</v>
      </c>
      <c r="K144" s="65" t="n">
        <v>0</v>
      </c>
      <c r="L144" s="87">
        <f>IF(D144&gt;0,MIN(1,(C144+E144)/D144),1)</f>
        <v>1</v>
      </c>
      <c r="M144" s="88">
        <f>IF(D144&gt;0,K144/D144,0)</f>
        <v>0</v>
      </c>
      <c r="N144" s="89">
        <f>IF(H144&gt;0,F144/H144,0)</f>
        <v>10.1251564455569</v>
      </c>
      <c r="O144" s="65">
        <f>IF(F144&lt;J144,1,0)</f>
        <v>0</v>
      </c>
      <c r="P144" s="65">
        <f>IF(C144+E144&lt;D144,1,0)</f>
        <v>0</v>
      </c>
    </row>
    <row r="145">
      <c r="A145" s="90" t="n">
        <v>46294</v>
      </c>
      <c r="B145" s="91" t="inlineStr">
        <is>
          <t>Cucumber</t>
        </is>
      </c>
      <c r="C145" s="75" t="n">
        <v>205</v>
      </c>
      <c r="D145" s="75" t="n">
        <v>33</v>
      </c>
      <c r="E145" s="75" t="n">
        <v>0</v>
      </c>
      <c r="F145" s="75">
        <f>C145+E145-D145-K145</f>
        <v>172</v>
      </c>
      <c r="G145" s="75" t="n">
        <v>2</v>
      </c>
      <c r="H145" s="75" t="n">
        <v>41.6</v>
      </c>
      <c r="I145" s="75" t="n">
        <v>29</v>
      </c>
      <c r="J145" s="75" t="n">
        <v>112</v>
      </c>
      <c r="K145" s="75" t="n">
        <v>0</v>
      </c>
      <c r="L145" s="42">
        <f>IF(D145&gt;0,MIN(1,(C145+E145)/D145),1)</f>
        <v>1</v>
      </c>
      <c r="M145" s="38">
        <f>IF(D145&gt;0,K145/D145,0)</f>
        <v>0</v>
      </c>
      <c r="N145" s="39">
        <f>IF(H145&gt;0,F145/H145,0)</f>
        <v>4.13461538461538</v>
      </c>
      <c r="O145" s="75">
        <f>IF(F145&lt;J145,1,0)</f>
        <v>0</v>
      </c>
      <c r="P145" s="75">
        <f>IF(C145+E145&lt;D145,1,0)</f>
        <v>0</v>
      </c>
    </row>
    <row r="146">
      <c r="A146" s="85" t="n">
        <v>46294</v>
      </c>
      <c r="B146" s="86" t="inlineStr">
        <is>
          <t>Capsicum</t>
        </is>
      </c>
      <c r="C146" s="65" t="n">
        <v>143</v>
      </c>
      <c r="D146" s="65" t="n">
        <v>27</v>
      </c>
      <c r="E146" s="65" t="n">
        <v>0</v>
      </c>
      <c r="F146" s="65">
        <f>C146+E146-D146-K146</f>
        <v>116</v>
      </c>
      <c r="G146" s="65" t="n">
        <v>3</v>
      </c>
      <c r="H146" s="65" t="n">
        <v>30.1</v>
      </c>
      <c r="I146" s="65" t="n">
        <v>26</v>
      </c>
      <c r="J146" s="65" t="n">
        <v>116</v>
      </c>
      <c r="K146" s="65" t="n">
        <v>0</v>
      </c>
      <c r="L146" s="87">
        <f>IF(D146&gt;0,MIN(1,(C146+E146)/D146),1)</f>
        <v>1</v>
      </c>
      <c r="M146" s="88">
        <f>IF(D146&gt;0,K146/D146,0)</f>
        <v>0</v>
      </c>
      <c r="N146" s="89">
        <f>IF(H146&gt;0,F146/H146,0)</f>
        <v>3.85382059800664</v>
      </c>
      <c r="O146" s="65">
        <f>IF(F146&lt;J146,1,0)</f>
        <v>0</v>
      </c>
      <c r="P146" s="65">
        <f>IF(C146+E146&lt;D146,1,0)</f>
        <v>0</v>
      </c>
    </row>
    <row r="147">
      <c r="A147" s="90" t="n">
        <v>46295</v>
      </c>
      <c r="B147" s="91" t="inlineStr">
        <is>
          <t>Tomato</t>
        </is>
      </c>
      <c r="C147" s="75" t="n">
        <v>398</v>
      </c>
      <c r="D147" s="75" t="n">
        <v>49</v>
      </c>
      <c r="E147" s="75" t="n">
        <v>0</v>
      </c>
      <c r="F147" s="75">
        <f>C147+E147-D147-K147</f>
        <v>349</v>
      </c>
      <c r="G147" s="75" t="n">
        <v>3</v>
      </c>
      <c r="H147" s="75" t="n">
        <v>67.90000000000001</v>
      </c>
      <c r="I147" s="75" t="n">
        <v>59</v>
      </c>
      <c r="J147" s="75" t="n">
        <v>263</v>
      </c>
      <c r="K147" s="75" t="n">
        <v>0</v>
      </c>
      <c r="L147" s="42">
        <f>IF(D147&gt;0,MIN(1,(C147+E147)/D147),1)</f>
        <v>1</v>
      </c>
      <c r="M147" s="38">
        <f>IF(D147&gt;0,K147/D147,0)</f>
        <v>0</v>
      </c>
      <c r="N147" s="39">
        <f>IF(H147&gt;0,F147/H147,0)</f>
        <v>5.139911634757</v>
      </c>
      <c r="O147" s="75">
        <f>IF(F147&lt;J147,1,0)</f>
        <v>0</v>
      </c>
      <c r="P147" s="75">
        <f>IF(C147+E147&lt;D147,1,0)</f>
        <v>0</v>
      </c>
    </row>
    <row r="148">
      <c r="A148" s="85" t="n">
        <v>46295</v>
      </c>
      <c r="B148" s="86" t="inlineStr">
        <is>
          <t>Onion</t>
        </is>
      </c>
      <c r="C148" s="65" t="n">
        <v>643</v>
      </c>
      <c r="D148" s="65" t="n">
        <v>59</v>
      </c>
      <c r="E148" s="65" t="n">
        <v>0</v>
      </c>
      <c r="F148" s="65">
        <f>C148+E148-D148-K148</f>
        <v>584</v>
      </c>
      <c r="G148" s="65" t="n">
        <v>4</v>
      </c>
      <c r="H148" s="65" t="n">
        <v>75.3</v>
      </c>
      <c r="I148" s="65" t="n">
        <v>75</v>
      </c>
      <c r="J148" s="65" t="n">
        <v>376</v>
      </c>
      <c r="K148" s="65" t="n">
        <v>0</v>
      </c>
      <c r="L148" s="87">
        <f>IF(D148&gt;0,MIN(1,(C148+E148)/D148),1)</f>
        <v>1</v>
      </c>
      <c r="M148" s="88">
        <f>IF(D148&gt;0,K148/D148,0)</f>
        <v>0</v>
      </c>
      <c r="N148" s="89">
        <f>IF(H148&gt;0,F148/H148,0)</f>
        <v>7.75564409030545</v>
      </c>
      <c r="O148" s="65">
        <f>IF(F148&lt;J148,1,0)</f>
        <v>0</v>
      </c>
      <c r="P148" s="65">
        <f>IF(C148+E148&lt;D148,1,0)</f>
        <v>0</v>
      </c>
    </row>
    <row r="149">
      <c r="A149" s="90" t="n">
        <v>46295</v>
      </c>
      <c r="B149" s="91" t="inlineStr">
        <is>
          <t>Potato</t>
        </is>
      </c>
      <c r="C149" s="75" t="n">
        <v>809</v>
      </c>
      <c r="D149" s="75" t="n">
        <v>64</v>
      </c>
      <c r="E149" s="75" t="n">
        <v>0</v>
      </c>
      <c r="F149" s="75">
        <f>C149+E149-D149-K149</f>
        <v>745</v>
      </c>
      <c r="G149" s="75" t="n">
        <v>4</v>
      </c>
      <c r="H149" s="75" t="n">
        <v>79.09999999999999</v>
      </c>
      <c r="I149" s="75" t="n">
        <v>79</v>
      </c>
      <c r="J149" s="75" t="n">
        <v>396</v>
      </c>
      <c r="K149" s="75" t="n">
        <v>0</v>
      </c>
      <c r="L149" s="42">
        <f>IF(D149&gt;0,MIN(1,(C149+E149)/D149),1)</f>
        <v>1</v>
      </c>
      <c r="M149" s="38">
        <f>IF(D149&gt;0,K149/D149,0)</f>
        <v>0</v>
      </c>
      <c r="N149" s="39">
        <f>IF(H149&gt;0,F149/H149,0)</f>
        <v>9.41845764854615</v>
      </c>
      <c r="O149" s="75">
        <f>IF(F149&lt;J149,1,0)</f>
        <v>0</v>
      </c>
      <c r="P149" s="75">
        <f>IF(C149+E149&lt;D149,1,0)</f>
        <v>0</v>
      </c>
    </row>
    <row r="150">
      <c r="A150" s="85" t="n">
        <v>46295</v>
      </c>
      <c r="B150" s="86" t="inlineStr">
        <is>
          <t>Cucumber</t>
        </is>
      </c>
      <c r="C150" s="65" t="n">
        <v>172</v>
      </c>
      <c r="D150" s="65" t="n">
        <v>43</v>
      </c>
      <c r="E150" s="65" t="n">
        <v>0</v>
      </c>
      <c r="F150" s="65">
        <f>C150+E150-D150-K150</f>
        <v>129</v>
      </c>
      <c r="G150" s="65" t="n">
        <v>2</v>
      </c>
      <c r="H150" s="65" t="n">
        <v>41.9</v>
      </c>
      <c r="I150" s="65" t="n">
        <v>30</v>
      </c>
      <c r="J150" s="65" t="n">
        <v>114</v>
      </c>
      <c r="K150" s="65" t="n">
        <v>0</v>
      </c>
      <c r="L150" s="87">
        <f>IF(D150&gt;0,MIN(1,(C150+E150)/D150),1)</f>
        <v>1</v>
      </c>
      <c r="M150" s="88">
        <f>IF(D150&gt;0,K150/D150,0)</f>
        <v>0</v>
      </c>
      <c r="N150" s="89">
        <f>IF(H150&gt;0,F150/H150,0)</f>
        <v>3.07875894988067</v>
      </c>
      <c r="O150" s="65">
        <f>IF(F150&lt;J150,1,0)</f>
        <v>0</v>
      </c>
      <c r="P150" s="65">
        <f>IF(C150+E150&lt;D150,1,0)</f>
        <v>0</v>
      </c>
    </row>
    <row r="151">
      <c r="A151" s="90" t="n">
        <v>46295</v>
      </c>
      <c r="B151" s="91" t="inlineStr">
        <is>
          <t>Capsicum</t>
        </is>
      </c>
      <c r="C151" s="75" t="n">
        <v>116</v>
      </c>
      <c r="D151" s="75" t="n">
        <v>29</v>
      </c>
      <c r="E151" s="75" t="n">
        <v>0</v>
      </c>
      <c r="F151" s="75">
        <f>C151+E151-D151-K151</f>
        <v>87</v>
      </c>
      <c r="G151" s="75" t="n">
        <v>3</v>
      </c>
      <c r="H151" s="75" t="n">
        <v>28.9</v>
      </c>
      <c r="I151" s="75" t="n">
        <v>25</v>
      </c>
      <c r="J151" s="75" t="n">
        <v>112</v>
      </c>
      <c r="K151" s="75" t="n">
        <v>0</v>
      </c>
      <c r="L151" s="42">
        <f>IF(D151&gt;0,MIN(1,(C151+E151)/D151),1)</f>
        <v>1</v>
      </c>
      <c r="M151" s="38">
        <f>IF(D151&gt;0,K151/D151,0)</f>
        <v>0</v>
      </c>
      <c r="N151" s="39">
        <f>IF(H151&gt;0,F151/H151,0)</f>
        <v>3.01038062283737</v>
      </c>
      <c r="O151" s="75">
        <f>IF(F151&lt;J151,1,0)</f>
        <v>1</v>
      </c>
      <c r="P151" s="75">
        <f>IF(C151+E151&lt;D151,1,0)</f>
        <v>0</v>
      </c>
    </row>
  </sheetData>
  <autoFilter ref="A1:P15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9AA5A0"/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4" customHeight="1">
      <c r="A1" s="57" t="inlineStr">
        <is>
          <t>ReadMe · How this workbook works</t>
        </is>
      </c>
      <c r="B1" s="2" t="n"/>
    </row>
    <row r="2">
      <c r="A2" s="3" t="inlineStr">
        <is>
          <t>Please read before using the numbers.</t>
        </is>
      </c>
    </row>
    <row r="4" ht="46" customHeight="1">
      <c r="A4" s="48" t="inlineStr">
        <is>
          <t>Purpose</t>
        </is>
      </c>
      <c r="B4" s="77" t="inlineStr">
        <is>
          <t>Answer 3 questions for a fresh-produce supply chain business: What to order? When to order? How to reduce waste?</t>
        </is>
      </c>
    </row>
    <row r="5" ht="46" customHeight="1">
      <c r="A5" s="48" t="inlineStr">
        <is>
          <t>Data status</t>
        </is>
      </c>
      <c r="B5" s="77" t="inlineStr">
        <is>
          <t>All data is SIMULATED (30 days, 5 products: Tomato, Onion, Potato, Cucumber, Capsicum). It is not Fambo data and not actual company results. Built as a practice project for the Fambo Innovation Supply Chain internship application.</t>
        </is>
      </c>
    </row>
    <row r="6" ht="46" customHeight="1">
      <c r="A6" s="48" t="inlineStr">
        <is>
          <t>Sheets</t>
        </is>
      </c>
      <c r="B6" s="77" t="inlineStr">
        <is>
          <t>Dashboard – KPIs, charts, scorecard  |  Demand – forecast  |  Inventory – safety stock &amp; reorder point  |  Waste – expiry analysis  |  Recommendations – actions  |  Data – source data + added columns.</t>
        </is>
      </c>
    </row>
    <row r="7" ht="46" customHeight="1">
      <c r="A7" s="48" t="inlineStr">
        <is>
          <t>Demand forecast</t>
        </is>
      </c>
      <c r="B7" s="77" t="inlineStr">
        <is>
          <t>Forecast for a day = average of the previous 7 days. Forecast error (MAPE) is tested on days 8–30. Future days use the latest 7-day average (flat line).</t>
        </is>
      </c>
    </row>
    <row r="8" ht="46" customHeight="1">
      <c r="A8" s="48" t="inlineStr">
        <is>
          <t>Safety stock</t>
        </is>
      </c>
      <c r="B8" s="77" t="inlineStr">
        <is>
          <t>Z × standard deviation of daily demand × √lead time. Z comes from the service level (95% → 1.65). The source file used a simpler rule (0.5 × avg demand × √lead time); both are shown for comparison.</t>
        </is>
      </c>
    </row>
    <row r="9" ht="46" customHeight="1">
      <c r="A9" s="48" t="inlineStr">
        <is>
          <t>Reorder point</t>
        </is>
      </c>
      <c r="B9" s="77" t="inlineStr">
        <is>
          <t>Average daily demand × lead time + safety stock. Stock status: ORDER NOW (below ROP), WATCH (within 20% above ROP), OK.</t>
        </is>
      </c>
    </row>
    <row r="10" ht="46" customHeight="1">
      <c r="A10" s="48" t="inlineStr">
        <is>
          <t>Order quantity</t>
        </is>
      </c>
      <c r="B10" s="77" t="inlineStr">
        <is>
          <t>Average daily demand × order cycle days (default 4), rounded up to the next 10 kg. Target average stock = safety stock + half an order.</t>
        </is>
      </c>
    </row>
    <row r="11" ht="46" customHeight="1">
      <c r="A11" s="48" t="inlineStr">
        <is>
          <t>Fill rate</t>
        </is>
      </c>
      <c r="B11" s="77" t="inlineStr">
        <is>
          <t>Share of demand served = MIN(1, (opening + received) ÷ demand). Closing stock = opening + received − demand − waste.</t>
        </is>
      </c>
    </row>
    <row r="12" ht="46" customHeight="1">
      <c r="A12" s="48" t="inlineStr">
        <is>
          <t>Waste value</t>
        </is>
      </c>
      <c r="B12" s="77" t="inlineStr">
        <is>
          <t>Uses ASSUMED prices (₹/kg) typed in the yellow cells of the Waste sheet. Replace them with real buying rates.</t>
        </is>
      </c>
    </row>
    <row r="13" ht="46" customHeight="1">
      <c r="A13" s="48" t="inlineStr">
        <is>
          <t>Colour guide</t>
        </is>
      </c>
      <c r="B13" s="77" t="inlineStr">
        <is>
          <t>Yellow cell with blue text = input you can change. Everything else is a formula.</t>
        </is>
      </c>
    </row>
    <row r="14" ht="46" customHeight="1">
      <c r="A14" s="48" t="inlineStr">
        <is>
          <t>Limitations</t>
        </is>
      </c>
      <c r="B14" s="77" t="inlineStr">
        <is>
          <t>Small, simulated dataset; no seasonality, price, shelf-life or supplier data. Results show the method, not real business performance.</t>
        </is>
      </c>
    </row>
    <row r="15" ht="46" customHeight="1">
      <c r="A15" s="48" t="inlineStr">
        <is>
          <t>Interview talking points</t>
        </is>
      </c>
      <c r="B15" s="77" t="inlineStr">
        <is>
          <t>How I would validate data · how to track FEFO/expiry · how waste % and fill rate are measured · why high waste with 100% fill rate means over-stocking · how I would review reorder parameters with operations.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2026-10-12T12:04:17Z</dcterms:created>
  <dcterms:modified xmlns:dcterms="http://purl.org/dc/terms/" xmlns:xsi="http://www.w3.org/2001/XMLSchema-instance" xsi:type="dcterms:W3CDTF">2026-10-12T12:04:17Z</dcterms:modified>
</cp:coreProperties>
</file>